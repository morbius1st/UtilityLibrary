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Programming\VisualStudioProjects\UtilityLibrary\WpfUtilityLibrary\"/>
    </mc:Choice>
  </mc:AlternateContent>
  <xr:revisionPtr revIDLastSave="0" documentId="13_ncr:1_{C771B58B-0A5F-4413-AC44-908BF88E3E9C}" xr6:coauthVersionLast="45" xr6:coauthVersionMax="45" xr10:uidLastSave="{00000000-0000-0000-0000-000000000000}"/>
  <bookViews>
    <workbookView xWindow="4116" yWindow="1188" windowWidth="39900" windowHeight="23136" tabRatio="108" xr2:uid="{65D212B0-7C72-4F4B-A07B-11D2AF225BE5}"/>
  </bookViews>
  <sheets>
    <sheet name="Color Formula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6" i="2" l="1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5" i="2"/>
  <c r="C29" i="2" l="1"/>
  <c r="C28" i="2"/>
  <c r="C27" i="2"/>
  <c r="C26" i="2"/>
  <c r="C25" i="2"/>
  <c r="C12" i="2" l="1"/>
  <c r="C13" i="2"/>
  <c r="C14" i="2"/>
  <c r="C15" i="2"/>
  <c r="C16" i="2"/>
  <c r="C17" i="2"/>
  <c r="C18" i="2"/>
  <c r="C19" i="2"/>
  <c r="C20" i="2"/>
  <c r="C21" i="2"/>
  <c r="C22" i="2"/>
  <c r="C23" i="2"/>
  <c r="C24" i="2"/>
  <c r="C11" i="2"/>
  <c r="G33" i="2" l="1"/>
  <c r="F33" i="2"/>
  <c r="H33" i="2"/>
  <c r="D33" i="2"/>
  <c r="AJ28" i="2" l="1"/>
  <c r="AJ30" i="2"/>
  <c r="AK30" i="2" s="1"/>
  <c r="AN30" i="2"/>
  <c r="AJ31" i="2"/>
  <c r="AK31" i="2" s="1"/>
  <c r="AN31" i="2"/>
  <c r="AJ32" i="2"/>
  <c r="AK32" i="2" s="1"/>
  <c r="AN32" i="2"/>
  <c r="AJ33" i="2"/>
  <c r="AK33" i="2" s="1"/>
  <c r="AN33" i="2"/>
  <c r="AM33" i="2" l="1"/>
  <c r="AL33" i="2"/>
  <c r="AL31" i="2"/>
  <c r="AM31" i="2"/>
  <c r="AL32" i="2"/>
  <c r="AM32" i="2"/>
  <c r="AL30" i="2"/>
  <c r="AM30" i="2"/>
  <c r="AJ20" i="2"/>
  <c r="AJ21" i="2"/>
  <c r="AK21" i="2" s="1"/>
  <c r="AJ22" i="2"/>
  <c r="AJ23" i="2"/>
  <c r="AJ24" i="2"/>
  <c r="AK24" i="2" s="1"/>
  <c r="AJ25" i="2"/>
  <c r="AJ26" i="2"/>
  <c r="AK26" i="2" s="1"/>
  <c r="AL26" i="2" s="1"/>
  <c r="AJ27" i="2"/>
  <c r="AJ29" i="2"/>
  <c r="AJ19" i="2"/>
  <c r="AN21" i="2"/>
  <c r="AN24" i="2"/>
  <c r="AN26" i="2"/>
  <c r="AL21" i="2" l="1"/>
  <c r="AM21" i="2"/>
  <c r="AL24" i="2"/>
  <c r="AM24" i="2"/>
  <c r="AM26" i="2"/>
  <c r="K4" i="2"/>
  <c r="L4" i="2"/>
  <c r="J4" i="2"/>
  <c r="AK29" i="2"/>
  <c r="AN29" i="2"/>
  <c r="AK19" i="2"/>
  <c r="AN19" i="2"/>
  <c r="AN20" i="2"/>
  <c r="AN22" i="2"/>
  <c r="AN23" i="2"/>
  <c r="AN25" i="2"/>
  <c r="AN27" i="2"/>
  <c r="AN28" i="2"/>
  <c r="AJ5" i="2"/>
  <c r="AK5" i="2" s="1"/>
  <c r="AL5" i="2" s="1"/>
  <c r="AN5" i="2"/>
  <c r="AJ6" i="2"/>
  <c r="AJ7" i="2"/>
  <c r="AJ8" i="2"/>
  <c r="AJ9" i="2"/>
  <c r="AJ10" i="2"/>
  <c r="AJ11" i="2"/>
  <c r="AJ12" i="2"/>
  <c r="AJ13" i="2"/>
  <c r="AJ14" i="2"/>
  <c r="AJ15" i="2"/>
  <c r="AJ16" i="2"/>
  <c r="AN6" i="2"/>
  <c r="AN7" i="2"/>
  <c r="AN8" i="2"/>
  <c r="AN9" i="2"/>
  <c r="AN10" i="2"/>
  <c r="AN11" i="2"/>
  <c r="AN12" i="2"/>
  <c r="AN13" i="2"/>
  <c r="AN14" i="2"/>
  <c r="AN15" i="2"/>
  <c r="AN16" i="2"/>
  <c r="AD18" i="2"/>
  <c r="AC18" i="2"/>
  <c r="AB18" i="2"/>
  <c r="AJ17" i="2"/>
  <c r="AK17" i="2" s="1"/>
  <c r="Z18" i="2"/>
  <c r="AL29" i="2" l="1"/>
  <c r="AM29" i="2"/>
  <c r="AM5" i="2"/>
  <c r="AK20" i="2"/>
  <c r="AM20" i="2" s="1"/>
  <c r="AK16" i="2"/>
  <c r="AM16" i="2" s="1"/>
  <c r="AM17" i="2"/>
  <c r="AL17" i="2"/>
  <c r="AL19" i="2"/>
  <c r="AM19" i="2"/>
  <c r="AG17" i="2" l="1"/>
  <c r="AF17" i="2"/>
  <c r="AH17" i="2"/>
  <c r="AG19" i="2"/>
  <c r="AF19" i="2"/>
  <c r="AH19" i="2"/>
  <c r="AL20" i="2"/>
  <c r="AL16" i="2"/>
  <c r="AH20" i="2" l="1"/>
  <c r="AH21" i="2" s="1"/>
  <c r="AF20" i="2"/>
  <c r="AF21" i="2" s="1"/>
  <c r="AG20" i="2"/>
  <c r="AG21" i="2" s="1"/>
  <c r="AC21" i="2" s="1"/>
  <c r="AH16" i="2"/>
  <c r="AF16" i="2"/>
  <c r="AG16" i="2"/>
  <c r="AK22" i="2"/>
  <c r="AM22" i="2" s="1"/>
  <c r="AK15" i="2"/>
  <c r="AM15" i="2" s="1"/>
  <c r="AK14" i="2"/>
  <c r="AC17" i="2"/>
  <c r="AC19" i="2"/>
  <c r="AD19" i="2"/>
  <c r="AK23" i="2"/>
  <c r="AB17" i="2"/>
  <c r="AD17" i="2"/>
  <c r="AB19" i="2"/>
  <c r="Z17" i="2"/>
  <c r="Z19" i="2"/>
  <c r="AB21" i="2" l="1"/>
  <c r="AD21" i="2"/>
  <c r="AL22" i="2"/>
  <c r="AL15" i="2"/>
  <c r="AG15" i="2" s="1"/>
  <c r="AK13" i="2"/>
  <c r="AL14" i="2"/>
  <c r="AM14" i="2"/>
  <c r="AB16" i="2"/>
  <c r="AC20" i="2"/>
  <c r="AL23" i="2"/>
  <c r="AM23" i="2"/>
  <c r="AC16" i="2"/>
  <c r="AD16" i="2"/>
  <c r="AB20" i="2"/>
  <c r="AK25" i="2"/>
  <c r="AD20" i="2"/>
  <c r="Z21" i="2"/>
  <c r="Z20" i="2"/>
  <c r="AG14" i="2" l="1"/>
  <c r="AF22" i="2"/>
  <c r="AF23" i="2" s="1"/>
  <c r="AF24" i="2" s="1"/>
  <c r="AG22" i="2"/>
  <c r="AG23" i="2" s="1"/>
  <c r="AG24" i="2" s="1"/>
  <c r="AH22" i="2"/>
  <c r="AH23" i="2" s="1"/>
  <c r="AH24" i="2" s="1"/>
  <c r="AH15" i="2"/>
  <c r="AH14" i="2" s="1"/>
  <c r="AF15" i="2"/>
  <c r="AF14" i="2" s="1"/>
  <c r="AK27" i="2"/>
  <c r="AM27" i="2" s="1"/>
  <c r="AK28" i="2"/>
  <c r="AM13" i="2"/>
  <c r="AL13" i="2"/>
  <c r="AK12" i="2"/>
  <c r="AM25" i="2"/>
  <c r="AL25" i="2"/>
  <c r="AC15" i="2"/>
  <c r="Z16" i="2"/>
  <c r="AC22" i="2" l="1"/>
  <c r="AG13" i="2"/>
  <c r="AH25" i="2"/>
  <c r="AH26" i="2" s="1"/>
  <c r="AD26" i="2" s="1"/>
  <c r="AG25" i="2"/>
  <c r="AG26" i="2" s="1"/>
  <c r="AF25" i="2"/>
  <c r="AF26" i="2" s="1"/>
  <c r="AC24" i="2"/>
  <c r="AF13" i="2"/>
  <c r="AB15" i="2"/>
  <c r="AH13" i="2"/>
  <c r="AD15" i="2"/>
  <c r="AB24" i="2"/>
  <c r="AD24" i="2"/>
  <c r="AD22" i="2"/>
  <c r="AB22" i="2"/>
  <c r="AL27" i="2"/>
  <c r="AL28" i="2"/>
  <c r="AM28" i="2"/>
  <c r="AK11" i="2"/>
  <c r="AM12" i="2"/>
  <c r="AL12" i="2"/>
  <c r="AC23" i="2"/>
  <c r="AC14" i="2"/>
  <c r="AB23" i="2"/>
  <c r="Z24" i="2"/>
  <c r="Z22" i="2"/>
  <c r="AH12" i="2" l="1"/>
  <c r="AF27" i="2"/>
  <c r="AG27" i="2"/>
  <c r="AG28" i="2" s="1"/>
  <c r="AG29" i="2" s="1"/>
  <c r="AG30" i="2" s="1"/>
  <c r="AC26" i="2"/>
  <c r="AG12" i="2"/>
  <c r="AB26" i="2"/>
  <c r="AH27" i="2"/>
  <c r="AH28" i="2" s="1"/>
  <c r="AH29" i="2" s="1"/>
  <c r="AH30" i="2" s="1"/>
  <c r="AF12" i="2"/>
  <c r="AD23" i="2"/>
  <c r="AB14" i="2"/>
  <c r="AD14" i="2"/>
  <c r="AM11" i="2"/>
  <c r="AL11" i="2"/>
  <c r="AK10" i="2"/>
  <c r="AC13" i="2"/>
  <c r="AD13" i="2"/>
  <c r="AC25" i="2"/>
  <c r="AB13" i="2"/>
  <c r="Z15" i="2"/>
  <c r="Z13" i="2"/>
  <c r="Z23" i="2"/>
  <c r="Z14" i="2"/>
  <c r="Z26" i="2"/>
  <c r="AF28" i="2" l="1"/>
  <c r="AH31" i="2"/>
  <c r="AD30" i="2"/>
  <c r="AG31" i="2"/>
  <c r="AC30" i="2"/>
  <c r="AG11" i="2"/>
  <c r="AF11" i="2"/>
  <c r="AH11" i="2"/>
  <c r="AB25" i="2"/>
  <c r="AD25" i="2"/>
  <c r="AC27" i="2"/>
  <c r="AD27" i="2"/>
  <c r="AB27" i="2"/>
  <c r="AM10" i="2"/>
  <c r="AL10" i="2"/>
  <c r="AK9" i="2"/>
  <c r="AB12" i="2"/>
  <c r="AD12" i="2"/>
  <c r="AC12" i="2"/>
  <c r="Z25" i="2"/>
  <c r="Z27" i="2"/>
  <c r="Z12" i="2"/>
  <c r="AB28" i="2" l="1"/>
  <c r="AF29" i="2"/>
  <c r="AF30" i="2" s="1"/>
  <c r="AG32" i="2"/>
  <c r="AC31" i="2"/>
  <c r="AD31" i="2"/>
  <c r="AH32" i="2"/>
  <c r="AG10" i="2"/>
  <c r="AH10" i="2"/>
  <c r="AF10" i="2"/>
  <c r="AD28" i="2"/>
  <c r="AD29" i="2"/>
  <c r="AC28" i="2"/>
  <c r="AC29" i="2"/>
  <c r="AK8" i="2"/>
  <c r="AL9" i="2"/>
  <c r="AM9" i="2"/>
  <c r="AB11" i="2"/>
  <c r="AC11" i="2"/>
  <c r="AD11" i="2"/>
  <c r="Z11" i="2"/>
  <c r="AB29" i="2" l="1"/>
  <c r="AF31" i="2"/>
  <c r="AB30" i="2"/>
  <c r="AH33" i="2"/>
  <c r="AD33" i="2" s="1"/>
  <c r="AD32" i="2"/>
  <c r="AG33" i="2"/>
  <c r="AC33" i="2" s="1"/>
  <c r="AC32" i="2"/>
  <c r="AG9" i="2"/>
  <c r="AF9" i="2"/>
  <c r="AH9" i="2"/>
  <c r="AK6" i="2"/>
  <c r="AK7" i="2"/>
  <c r="AM8" i="2"/>
  <c r="AL8" i="2"/>
  <c r="AD10" i="2"/>
  <c r="AB10" i="2"/>
  <c r="AC10" i="2"/>
  <c r="Z28" i="2"/>
  <c r="Z30" i="2"/>
  <c r="Z29" i="2"/>
  <c r="Z10" i="2"/>
  <c r="AB31" i="2" l="1"/>
  <c r="AF32" i="2"/>
  <c r="AG8" i="2"/>
  <c r="AH8" i="2"/>
  <c r="AF8" i="2"/>
  <c r="AM7" i="2"/>
  <c r="AL7" i="2"/>
  <c r="AL6" i="2"/>
  <c r="AM6" i="2"/>
  <c r="AD9" i="2"/>
  <c r="AC9" i="2"/>
  <c r="AB9" i="2"/>
  <c r="Z31" i="2"/>
  <c r="Z9" i="2"/>
  <c r="AB32" i="2" l="1"/>
  <c r="AF33" i="2"/>
  <c r="AB33" i="2" s="1"/>
  <c r="AG7" i="2"/>
  <c r="AG6" i="2" s="1"/>
  <c r="AG5" i="2" s="1"/>
  <c r="AF7" i="2"/>
  <c r="AF6" i="2" s="1"/>
  <c r="AF5" i="2" s="1"/>
  <c r="AH7" i="2"/>
  <c r="AH6" i="2" s="1"/>
  <c r="AH5" i="2" s="1"/>
  <c r="AD8" i="2"/>
  <c r="AB8" i="2"/>
  <c r="AC8" i="2"/>
  <c r="Z32" i="2"/>
  <c r="Z33" i="2"/>
  <c r="Z8" i="2"/>
  <c r="AD7" i="2" l="1"/>
  <c r="AC7" i="2"/>
  <c r="AB7" i="2"/>
  <c r="Z7" i="2"/>
  <c r="AC6" i="2" l="1"/>
  <c r="AC5" i="2"/>
  <c r="AB6" i="2"/>
  <c r="AB5" i="2"/>
  <c r="AD6" i="2"/>
  <c r="AD5" i="2"/>
  <c r="Z6" i="2"/>
  <c r="Z5" i="2"/>
  <c r="H18" i="2" l="1"/>
  <c r="G18" i="2"/>
  <c r="F18" i="2"/>
  <c r="D18" i="2"/>
  <c r="M19" i="2" l="1"/>
  <c r="M20" i="2" s="1"/>
  <c r="M21" i="2" s="1"/>
  <c r="M22" i="2" s="1"/>
  <c r="M23" i="2" s="1"/>
  <c r="M24" i="2" s="1"/>
  <c r="M25" i="2" s="1"/>
  <c r="M17" i="2"/>
  <c r="M16" i="2" s="1"/>
  <c r="M15" i="2" s="1"/>
  <c r="M14" i="2" s="1"/>
  <c r="N126" i="2"/>
  <c r="O126" i="2" s="1"/>
  <c r="N127" i="2"/>
  <c r="P127" i="2" s="1"/>
  <c r="N128" i="2"/>
  <c r="O128" i="2" s="1"/>
  <c r="N129" i="2"/>
  <c r="O129" i="2" s="1"/>
  <c r="N130" i="2"/>
  <c r="O130" i="2" s="1"/>
  <c r="N131" i="2"/>
  <c r="P131" i="2" s="1"/>
  <c r="N132" i="2"/>
  <c r="O132" i="2" s="1"/>
  <c r="N133" i="2"/>
  <c r="O133" i="2" s="1"/>
  <c r="N134" i="2"/>
  <c r="O134" i="2" s="1"/>
  <c r="N135" i="2"/>
  <c r="P135" i="2" s="1"/>
  <c r="N136" i="2"/>
  <c r="O136" i="2" s="1"/>
  <c r="N137" i="2"/>
  <c r="O137" i="2" s="1"/>
  <c r="N138" i="2"/>
  <c r="O138" i="2" s="1"/>
  <c r="N125" i="2"/>
  <c r="O125" i="2" s="1"/>
  <c r="X125" i="2"/>
  <c r="X126" i="2" s="1"/>
  <c r="X127" i="2" s="1"/>
  <c r="X128" i="2" s="1"/>
  <c r="X129" i="2" s="1"/>
  <c r="X130" i="2" s="1"/>
  <c r="X131" i="2" s="1"/>
  <c r="X132" i="2" s="1"/>
  <c r="X133" i="2" s="1"/>
  <c r="X134" i="2" s="1"/>
  <c r="X135" i="2" s="1"/>
  <c r="X136" i="2" s="1"/>
  <c r="X137" i="2" s="1"/>
  <c r="X138" i="2" s="1"/>
  <c r="W125" i="2"/>
  <c r="W126" i="2" s="1"/>
  <c r="W127" i="2" s="1"/>
  <c r="W128" i="2" s="1"/>
  <c r="W129" i="2" s="1"/>
  <c r="W130" i="2" s="1"/>
  <c r="W131" i="2" s="1"/>
  <c r="W132" i="2" s="1"/>
  <c r="W133" i="2" s="1"/>
  <c r="W134" i="2" s="1"/>
  <c r="W135" i="2" s="1"/>
  <c r="W136" i="2" s="1"/>
  <c r="W137" i="2" s="1"/>
  <c r="W138" i="2" s="1"/>
  <c r="J123" i="2"/>
  <c r="H123" i="2"/>
  <c r="F123" i="2"/>
  <c r="N124" i="2"/>
  <c r="O124" i="2" s="1"/>
  <c r="N78" i="2"/>
  <c r="P78" i="2" s="1"/>
  <c r="N70" i="2"/>
  <c r="P70" i="2" s="1"/>
  <c r="N71" i="2"/>
  <c r="O71" i="2" s="1"/>
  <c r="N72" i="2"/>
  <c r="O72" i="2" s="1"/>
  <c r="N73" i="2"/>
  <c r="O73" i="2" s="1"/>
  <c r="N74" i="2"/>
  <c r="O74" i="2" s="1"/>
  <c r="N75" i="2"/>
  <c r="O75" i="2" s="1"/>
  <c r="N76" i="2"/>
  <c r="O76" i="2" s="1"/>
  <c r="N77" i="2"/>
  <c r="P77" i="2" s="1"/>
  <c r="J68" i="2"/>
  <c r="H68" i="2"/>
  <c r="F68" i="2"/>
  <c r="N69" i="2"/>
  <c r="P69" i="2" s="1"/>
  <c r="U101" i="2"/>
  <c r="S101" i="2"/>
  <c r="Q101" i="2"/>
  <c r="P99" i="2"/>
  <c r="T99" i="2" s="1"/>
  <c r="U87" i="2"/>
  <c r="S87" i="2"/>
  <c r="Q87" i="2"/>
  <c r="P85" i="2"/>
  <c r="T85" i="2" s="1"/>
  <c r="U54" i="2"/>
  <c r="S54" i="2"/>
  <c r="Q54" i="2"/>
  <c r="Q47" i="2"/>
  <c r="U47" i="2" s="1"/>
  <c r="Q46" i="2"/>
  <c r="U46" i="2" s="1"/>
  <c r="F46" i="2"/>
  <c r="J46" i="2" s="1"/>
  <c r="F47" i="2"/>
  <c r="H47" i="2" s="1"/>
  <c r="F87" i="2"/>
  <c r="H87" i="2"/>
  <c r="J87" i="2"/>
  <c r="F101" i="2"/>
  <c r="H101" i="2"/>
  <c r="J101" i="2"/>
  <c r="E99" i="2"/>
  <c r="F99" i="2" s="1"/>
  <c r="E85" i="2"/>
  <c r="F85" i="2" s="1"/>
  <c r="D101" i="2"/>
  <c r="O54" i="2"/>
  <c r="D87" i="2"/>
  <c r="D123" i="2"/>
  <c r="O101" i="2"/>
  <c r="D68" i="2"/>
  <c r="O87" i="2"/>
  <c r="N25" i="2" l="1"/>
  <c r="M26" i="2"/>
  <c r="M13" i="2"/>
  <c r="H46" i="2"/>
  <c r="K53" i="2" s="1"/>
  <c r="K52" i="2" s="1"/>
  <c r="K51" i="2" s="1"/>
  <c r="K50" i="2" s="1"/>
  <c r="K49" i="2" s="1"/>
  <c r="K48" i="2" s="1"/>
  <c r="P136" i="2"/>
  <c r="N19" i="2"/>
  <c r="P19" i="2" s="1"/>
  <c r="N17" i="2"/>
  <c r="N20" i="2"/>
  <c r="P20" i="2" s="1"/>
  <c r="N15" i="2"/>
  <c r="O15" i="2" s="1"/>
  <c r="N16" i="2"/>
  <c r="N14" i="2"/>
  <c r="O135" i="2"/>
  <c r="P129" i="2"/>
  <c r="P133" i="2"/>
  <c r="P137" i="2"/>
  <c r="P125" i="2"/>
  <c r="P132" i="2"/>
  <c r="P128" i="2"/>
  <c r="O131" i="2"/>
  <c r="O127" i="2"/>
  <c r="P138" i="2"/>
  <c r="P130" i="2"/>
  <c r="P134" i="2"/>
  <c r="P126" i="2"/>
  <c r="P124" i="2"/>
  <c r="G124" i="2" s="1"/>
  <c r="G53" i="2"/>
  <c r="G52" i="2" s="1"/>
  <c r="G51" i="2" s="1"/>
  <c r="G50" i="2" s="1"/>
  <c r="G49" i="2" s="1"/>
  <c r="G48" i="2" s="1"/>
  <c r="O78" i="2"/>
  <c r="G78" i="2" s="1"/>
  <c r="F78" i="2" s="1"/>
  <c r="O77" i="2"/>
  <c r="K77" i="2" s="1"/>
  <c r="J77" i="2" s="1"/>
  <c r="P75" i="2"/>
  <c r="I75" i="2" s="1"/>
  <c r="H75" i="2" s="1"/>
  <c r="P73" i="2"/>
  <c r="K73" i="2" s="1"/>
  <c r="J73" i="2" s="1"/>
  <c r="P74" i="2"/>
  <c r="I74" i="2" s="1"/>
  <c r="H74" i="2" s="1"/>
  <c r="O70" i="2"/>
  <c r="I70" i="2" s="1"/>
  <c r="H70" i="2" s="1"/>
  <c r="P72" i="2"/>
  <c r="I72" i="2" s="1"/>
  <c r="H72" i="2" s="1"/>
  <c r="P76" i="2"/>
  <c r="K76" i="2" s="1"/>
  <c r="J76" i="2" s="1"/>
  <c r="P71" i="2"/>
  <c r="O69" i="2"/>
  <c r="K69" i="2" s="1"/>
  <c r="Q99" i="2"/>
  <c r="T102" i="2" s="1"/>
  <c r="Q85" i="2"/>
  <c r="V88" i="2" s="1"/>
  <c r="S46" i="2"/>
  <c r="T53" i="2" s="1"/>
  <c r="S47" i="2"/>
  <c r="T55" i="2" s="1"/>
  <c r="F54" i="2"/>
  <c r="J54" i="2"/>
  <c r="H54" i="2"/>
  <c r="J47" i="2"/>
  <c r="I99" i="2"/>
  <c r="I85" i="2"/>
  <c r="D54" i="2"/>
  <c r="N26" i="2" l="1"/>
  <c r="M27" i="2"/>
  <c r="P25" i="2"/>
  <c r="O25" i="2"/>
  <c r="N13" i="2"/>
  <c r="O13" i="2" s="1"/>
  <c r="M12" i="2"/>
  <c r="M11" i="2" s="1"/>
  <c r="N11" i="2" s="1"/>
  <c r="O11" i="2" s="1"/>
  <c r="I53" i="2"/>
  <c r="I52" i="2" s="1"/>
  <c r="I51" i="2" s="1"/>
  <c r="I50" i="2" s="1"/>
  <c r="I49" i="2" s="1"/>
  <c r="I48" i="2" s="1"/>
  <c r="G125" i="2"/>
  <c r="F125" i="2" s="1"/>
  <c r="O19" i="2"/>
  <c r="P17" i="2"/>
  <c r="O17" i="2"/>
  <c r="O20" i="2"/>
  <c r="P15" i="2"/>
  <c r="N21" i="2"/>
  <c r="O16" i="2"/>
  <c r="P16" i="2"/>
  <c r="P14" i="2"/>
  <c r="O14" i="2"/>
  <c r="I77" i="2"/>
  <c r="H77" i="2" s="1"/>
  <c r="G77" i="2"/>
  <c r="F77" i="2" s="1"/>
  <c r="G75" i="2"/>
  <c r="F75" i="2" s="1"/>
  <c r="G126" i="2"/>
  <c r="G127" i="2" s="1"/>
  <c r="F124" i="2"/>
  <c r="K124" i="2"/>
  <c r="I124" i="2"/>
  <c r="G55" i="2"/>
  <c r="G56" i="2" s="1"/>
  <c r="G57" i="2" s="1"/>
  <c r="G58" i="2" s="1"/>
  <c r="G59" i="2" s="1"/>
  <c r="G60" i="2" s="1"/>
  <c r="I55" i="2"/>
  <c r="I56" i="2" s="1"/>
  <c r="I57" i="2" s="1"/>
  <c r="I58" i="2" s="1"/>
  <c r="I59" i="2" s="1"/>
  <c r="I60" i="2" s="1"/>
  <c r="K55" i="2"/>
  <c r="K56" i="2" s="1"/>
  <c r="K57" i="2" s="1"/>
  <c r="K58" i="2" s="1"/>
  <c r="K59" i="2" s="1"/>
  <c r="K60" i="2" s="1"/>
  <c r="K88" i="2"/>
  <c r="K89" i="2" s="1"/>
  <c r="K90" i="2" s="1"/>
  <c r="K91" i="2" s="1"/>
  <c r="K92" i="2" s="1"/>
  <c r="K93" i="2" s="1"/>
  <c r="K94" i="2" s="1"/>
  <c r="K95" i="2" s="1"/>
  <c r="K96" i="2" s="1"/>
  <c r="I88" i="2"/>
  <c r="I89" i="2" s="1"/>
  <c r="I90" i="2" s="1"/>
  <c r="I91" i="2" s="1"/>
  <c r="I92" i="2" s="1"/>
  <c r="I93" i="2" s="1"/>
  <c r="I94" i="2" s="1"/>
  <c r="I95" i="2" s="1"/>
  <c r="I96" i="2" s="1"/>
  <c r="G88" i="2"/>
  <c r="G89" i="2" s="1"/>
  <c r="G90" i="2" s="1"/>
  <c r="G91" i="2" s="1"/>
  <c r="G92" i="2" s="1"/>
  <c r="G93" i="2" s="1"/>
  <c r="G94" i="2" s="1"/>
  <c r="G95" i="2" s="1"/>
  <c r="G96" i="2" s="1"/>
  <c r="G102" i="2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K102" i="2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I102" i="2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K75" i="2"/>
  <c r="J75" i="2" s="1"/>
  <c r="K78" i="2"/>
  <c r="J78" i="2" s="1"/>
  <c r="I78" i="2"/>
  <c r="H78" i="2" s="1"/>
  <c r="K72" i="2"/>
  <c r="J72" i="2" s="1"/>
  <c r="G72" i="2"/>
  <c r="F72" i="2" s="1"/>
  <c r="K70" i="2"/>
  <c r="J70" i="2" s="1"/>
  <c r="G70" i="2"/>
  <c r="F70" i="2" s="1"/>
  <c r="I73" i="2"/>
  <c r="H73" i="2" s="1"/>
  <c r="K74" i="2"/>
  <c r="J74" i="2" s="1"/>
  <c r="G74" i="2"/>
  <c r="F74" i="2" s="1"/>
  <c r="G73" i="2"/>
  <c r="F73" i="2" s="1"/>
  <c r="I76" i="2"/>
  <c r="H76" i="2" s="1"/>
  <c r="G76" i="2"/>
  <c r="F76" i="2" s="1"/>
  <c r="K71" i="2"/>
  <c r="J71" i="2" s="1"/>
  <c r="G71" i="2"/>
  <c r="F71" i="2" s="1"/>
  <c r="I71" i="2"/>
  <c r="H71" i="2" s="1"/>
  <c r="I69" i="2"/>
  <c r="G69" i="2"/>
  <c r="J69" i="2"/>
  <c r="R88" i="2"/>
  <c r="R89" i="2" s="1"/>
  <c r="S102" i="2"/>
  <c r="T103" i="2"/>
  <c r="V102" i="2"/>
  <c r="R102" i="2"/>
  <c r="V89" i="2"/>
  <c r="U88" i="2"/>
  <c r="T88" i="2"/>
  <c r="V55" i="2"/>
  <c r="V56" i="2" s="1"/>
  <c r="R55" i="2"/>
  <c r="S53" i="2"/>
  <c r="T52" i="2"/>
  <c r="V53" i="2"/>
  <c r="R53" i="2"/>
  <c r="D78" i="2"/>
  <c r="M28" i="2" l="1"/>
  <c r="N27" i="2"/>
  <c r="P26" i="2"/>
  <c r="O26" i="2"/>
  <c r="P11" i="2"/>
  <c r="H53" i="2"/>
  <c r="P13" i="2"/>
  <c r="N12" i="2"/>
  <c r="K19" i="2"/>
  <c r="G19" i="2" s="1"/>
  <c r="J19" i="2"/>
  <c r="F19" i="2" s="1"/>
  <c r="L19" i="2"/>
  <c r="L20" i="2" s="1"/>
  <c r="K17" i="2"/>
  <c r="G17" i="2" s="1"/>
  <c r="L17" i="2"/>
  <c r="J17" i="2"/>
  <c r="N22" i="2"/>
  <c r="P21" i="2"/>
  <c r="O21" i="2"/>
  <c r="F126" i="2"/>
  <c r="H124" i="2"/>
  <c r="I125" i="2"/>
  <c r="J124" i="2"/>
  <c r="K125" i="2"/>
  <c r="F127" i="2"/>
  <c r="G128" i="2"/>
  <c r="F102" i="2"/>
  <c r="F69" i="2"/>
  <c r="H69" i="2"/>
  <c r="Q102" i="2"/>
  <c r="R103" i="2"/>
  <c r="U102" i="2"/>
  <c r="V103" i="2"/>
  <c r="S103" i="2"/>
  <c r="T104" i="2"/>
  <c r="Q88" i="2"/>
  <c r="T89" i="2"/>
  <c r="S88" i="2"/>
  <c r="V90" i="2"/>
  <c r="U89" i="2"/>
  <c r="U55" i="2"/>
  <c r="V52" i="2"/>
  <c r="U53" i="2"/>
  <c r="T56" i="2"/>
  <c r="S55" i="2"/>
  <c r="R56" i="2"/>
  <c r="Q55" i="2"/>
  <c r="R52" i="2"/>
  <c r="Q53" i="2"/>
  <c r="S52" i="2"/>
  <c r="T51" i="2"/>
  <c r="V57" i="2"/>
  <c r="U56" i="2"/>
  <c r="J52" i="2"/>
  <c r="F53" i="2"/>
  <c r="J50" i="2"/>
  <c r="H88" i="2"/>
  <c r="H55" i="2"/>
  <c r="F55" i="2"/>
  <c r="J55" i="2"/>
  <c r="J88" i="2"/>
  <c r="J53" i="2"/>
  <c r="J51" i="2"/>
  <c r="J48" i="2"/>
  <c r="F52" i="2"/>
  <c r="H52" i="2"/>
  <c r="H102" i="2"/>
  <c r="J102" i="2"/>
  <c r="F88" i="2"/>
  <c r="F103" i="2"/>
  <c r="D102" i="2"/>
  <c r="O53" i="2"/>
  <c r="D88" i="2"/>
  <c r="O88" i="2"/>
  <c r="D124" i="2"/>
  <c r="O55" i="2"/>
  <c r="D52" i="2"/>
  <c r="D55" i="2"/>
  <c r="D53" i="2"/>
  <c r="O27" i="2" l="1"/>
  <c r="P27" i="2"/>
  <c r="M29" i="2"/>
  <c r="N29" i="2" s="1"/>
  <c r="N28" i="2"/>
  <c r="O12" i="2"/>
  <c r="P12" i="2"/>
  <c r="K20" i="2"/>
  <c r="G20" i="2" s="1"/>
  <c r="F17" i="2"/>
  <c r="J16" i="2"/>
  <c r="J15" i="2" s="1"/>
  <c r="J14" i="2" s="1"/>
  <c r="L16" i="2"/>
  <c r="L15" i="2" s="1"/>
  <c r="L14" i="2" s="1"/>
  <c r="J20" i="2"/>
  <c r="F20" i="2" s="1"/>
  <c r="K16" i="2"/>
  <c r="K15" i="2" s="1"/>
  <c r="L21" i="2"/>
  <c r="P22" i="2"/>
  <c r="O22" i="2"/>
  <c r="N24" i="2"/>
  <c r="N23" i="2"/>
  <c r="J125" i="2"/>
  <c r="K126" i="2"/>
  <c r="H125" i="2"/>
  <c r="I126" i="2"/>
  <c r="G129" i="2"/>
  <c r="F128" i="2"/>
  <c r="S104" i="2"/>
  <c r="T105" i="2"/>
  <c r="U103" i="2"/>
  <c r="V104" i="2"/>
  <c r="Q103" i="2"/>
  <c r="R104" i="2"/>
  <c r="V91" i="2"/>
  <c r="U90" i="2"/>
  <c r="T90" i="2"/>
  <c r="S89" i="2"/>
  <c r="R90" i="2"/>
  <c r="Q89" i="2"/>
  <c r="T57" i="2"/>
  <c r="S56" i="2"/>
  <c r="R51" i="2"/>
  <c r="Q52" i="2"/>
  <c r="R57" i="2"/>
  <c r="Q56" i="2"/>
  <c r="V58" i="2"/>
  <c r="U57" i="2"/>
  <c r="T50" i="2"/>
  <c r="S51" i="2"/>
  <c r="V51" i="2"/>
  <c r="U52" i="2"/>
  <c r="H56" i="2"/>
  <c r="J56" i="2"/>
  <c r="F56" i="2"/>
  <c r="J49" i="2"/>
  <c r="H51" i="2"/>
  <c r="F51" i="2"/>
  <c r="H103" i="2"/>
  <c r="J103" i="2"/>
  <c r="F89" i="2"/>
  <c r="H89" i="2"/>
  <c r="J89" i="2"/>
  <c r="H104" i="2"/>
  <c r="F104" i="2"/>
  <c r="J104" i="2"/>
  <c r="O56" i="2"/>
  <c r="D69" i="2"/>
  <c r="O89" i="2"/>
  <c r="O103" i="2"/>
  <c r="D125" i="2"/>
  <c r="O52" i="2"/>
  <c r="O102" i="2"/>
  <c r="D89" i="2"/>
  <c r="D104" i="2"/>
  <c r="D103" i="2"/>
  <c r="D51" i="2"/>
  <c r="D56" i="2"/>
  <c r="O28" i="2" l="1"/>
  <c r="P28" i="2"/>
  <c r="P29" i="2"/>
  <c r="O29" i="2"/>
  <c r="K21" i="2"/>
  <c r="J12" i="2"/>
  <c r="J11" i="2" s="1"/>
  <c r="J13" i="2"/>
  <c r="F13" i="2" s="1"/>
  <c r="L12" i="2"/>
  <c r="L11" i="2" s="1"/>
  <c r="L13" i="2"/>
  <c r="H13" i="2" s="1"/>
  <c r="G16" i="2"/>
  <c r="F16" i="2"/>
  <c r="J21" i="2"/>
  <c r="F21" i="2" s="1"/>
  <c r="L22" i="2"/>
  <c r="G21" i="2"/>
  <c r="K22" i="2"/>
  <c r="O23" i="2"/>
  <c r="P23" i="2"/>
  <c r="O24" i="2"/>
  <c r="P24" i="2"/>
  <c r="G15" i="2"/>
  <c r="K14" i="2"/>
  <c r="K13" i="2" s="1"/>
  <c r="G13" i="2" s="1"/>
  <c r="F15" i="2"/>
  <c r="I127" i="2"/>
  <c r="H126" i="2"/>
  <c r="J126" i="2"/>
  <c r="K127" i="2"/>
  <c r="G130" i="2"/>
  <c r="F129" i="2"/>
  <c r="Q104" i="2"/>
  <c r="R105" i="2"/>
  <c r="S105" i="2"/>
  <c r="T106" i="2"/>
  <c r="U104" i="2"/>
  <c r="V105" i="2"/>
  <c r="Q90" i="2"/>
  <c r="R91" i="2"/>
  <c r="T91" i="2"/>
  <c r="S90" i="2"/>
  <c r="V92" i="2"/>
  <c r="U91" i="2"/>
  <c r="V59" i="2"/>
  <c r="U58" i="2"/>
  <c r="R58" i="2"/>
  <c r="Q57" i="2"/>
  <c r="V50" i="2"/>
  <c r="U51" i="2"/>
  <c r="Q51" i="2"/>
  <c r="R50" i="2"/>
  <c r="T49" i="2"/>
  <c r="S50" i="2"/>
  <c r="T58" i="2"/>
  <c r="S57" i="2"/>
  <c r="H57" i="2"/>
  <c r="F57" i="2"/>
  <c r="J57" i="2"/>
  <c r="H50" i="2"/>
  <c r="F50" i="2"/>
  <c r="F90" i="2"/>
  <c r="J90" i="2"/>
  <c r="H90" i="2"/>
  <c r="J105" i="2"/>
  <c r="F105" i="2"/>
  <c r="H105" i="2"/>
  <c r="O51" i="2"/>
  <c r="D70" i="2"/>
  <c r="D126" i="2"/>
  <c r="O57" i="2"/>
  <c r="D105" i="2"/>
  <c r="D90" i="2"/>
  <c r="D57" i="2"/>
  <c r="D50" i="2"/>
  <c r="J22" i="2" l="1"/>
  <c r="F22" i="2" s="1"/>
  <c r="L23" i="2"/>
  <c r="L24" i="2" s="1"/>
  <c r="L25" i="2" s="1"/>
  <c r="K23" i="2"/>
  <c r="G22" i="2"/>
  <c r="F14" i="2"/>
  <c r="K12" i="2"/>
  <c r="G14" i="2"/>
  <c r="J127" i="2"/>
  <c r="K128" i="2"/>
  <c r="H127" i="2"/>
  <c r="I128" i="2"/>
  <c r="G131" i="2"/>
  <c r="F130" i="2"/>
  <c r="U105" i="2"/>
  <c r="V106" i="2"/>
  <c r="S106" i="2"/>
  <c r="T107" i="2"/>
  <c r="Q105" i="2"/>
  <c r="R106" i="2"/>
  <c r="V93" i="2"/>
  <c r="U92" i="2"/>
  <c r="T92" i="2"/>
  <c r="S91" i="2"/>
  <c r="R92" i="2"/>
  <c r="Q91" i="2"/>
  <c r="T59" i="2"/>
  <c r="S58" i="2"/>
  <c r="R59" i="2"/>
  <c r="Q58" i="2"/>
  <c r="Q50" i="2"/>
  <c r="R49" i="2"/>
  <c r="V49" i="2"/>
  <c r="U50" i="2"/>
  <c r="T48" i="2"/>
  <c r="S48" i="2" s="1"/>
  <c r="S49" i="2"/>
  <c r="V60" i="2"/>
  <c r="U60" i="2" s="1"/>
  <c r="U59" i="2"/>
  <c r="J58" i="2"/>
  <c r="F58" i="2"/>
  <c r="H58" i="2"/>
  <c r="H49" i="2"/>
  <c r="H48" i="2"/>
  <c r="F49" i="2"/>
  <c r="F48" i="2"/>
  <c r="F91" i="2"/>
  <c r="H91" i="2"/>
  <c r="J91" i="2"/>
  <c r="F106" i="2"/>
  <c r="H106" i="2"/>
  <c r="J106" i="2"/>
  <c r="O58" i="2"/>
  <c r="O91" i="2"/>
  <c r="D72" i="2"/>
  <c r="O50" i="2"/>
  <c r="D71" i="2"/>
  <c r="O105" i="2"/>
  <c r="O104" i="2"/>
  <c r="O90" i="2"/>
  <c r="D127" i="2"/>
  <c r="D91" i="2"/>
  <c r="D106" i="2"/>
  <c r="D49" i="2"/>
  <c r="D48" i="2"/>
  <c r="D58" i="2"/>
  <c r="D13" i="2"/>
  <c r="H25" i="2" l="1"/>
  <c r="L26" i="2"/>
  <c r="J23" i="2"/>
  <c r="J24" i="2" s="1"/>
  <c r="G23" i="2"/>
  <c r="K24" i="2"/>
  <c r="F11" i="2"/>
  <c r="F12" i="2"/>
  <c r="G12" i="2"/>
  <c r="K11" i="2"/>
  <c r="G11" i="2" s="1"/>
  <c r="K129" i="2"/>
  <c r="J128" i="2"/>
  <c r="I129" i="2"/>
  <c r="H128" i="2"/>
  <c r="G132" i="2"/>
  <c r="F131" i="2"/>
  <c r="S107" i="2"/>
  <c r="T108" i="2"/>
  <c r="Q106" i="2"/>
  <c r="R107" i="2"/>
  <c r="U106" i="2"/>
  <c r="V107" i="2"/>
  <c r="R93" i="2"/>
  <c r="Q92" i="2"/>
  <c r="S92" i="2"/>
  <c r="T93" i="2"/>
  <c r="V94" i="2"/>
  <c r="U93" i="2"/>
  <c r="V48" i="2"/>
  <c r="U48" i="2" s="1"/>
  <c r="U49" i="2"/>
  <c r="R48" i="2"/>
  <c r="Q48" i="2" s="1"/>
  <c r="Q49" i="2"/>
  <c r="Q59" i="2"/>
  <c r="R60" i="2"/>
  <c r="Q60" i="2" s="1"/>
  <c r="T60" i="2"/>
  <c r="S60" i="2" s="1"/>
  <c r="S59" i="2"/>
  <c r="F59" i="2"/>
  <c r="F60" i="2"/>
  <c r="J59" i="2"/>
  <c r="J60" i="2"/>
  <c r="H59" i="2"/>
  <c r="H60" i="2"/>
  <c r="F92" i="2"/>
  <c r="J92" i="2"/>
  <c r="H92" i="2"/>
  <c r="J107" i="2"/>
  <c r="H107" i="2"/>
  <c r="F107" i="2"/>
  <c r="D128" i="2"/>
  <c r="O92" i="2"/>
  <c r="O49" i="2"/>
  <c r="O48" i="2"/>
  <c r="D107" i="2"/>
  <c r="D92" i="2"/>
  <c r="D59" i="2"/>
  <c r="D60" i="2"/>
  <c r="H26" i="2" l="1"/>
  <c r="L27" i="2"/>
  <c r="G24" i="2"/>
  <c r="K25" i="2"/>
  <c r="F24" i="2"/>
  <c r="J25" i="2"/>
  <c r="F23" i="2"/>
  <c r="H129" i="2"/>
  <c r="I130" i="2"/>
  <c r="J129" i="2"/>
  <c r="K130" i="2"/>
  <c r="F132" i="2"/>
  <c r="G133" i="2"/>
  <c r="U107" i="2"/>
  <c r="V108" i="2"/>
  <c r="S108" i="2"/>
  <c r="T109" i="2"/>
  <c r="Q107" i="2"/>
  <c r="R108" i="2"/>
  <c r="T94" i="2"/>
  <c r="S93" i="2"/>
  <c r="V95" i="2"/>
  <c r="V96" i="2" s="1"/>
  <c r="U94" i="2"/>
  <c r="R94" i="2"/>
  <c r="Q93" i="2"/>
  <c r="J93" i="2"/>
  <c r="H93" i="2"/>
  <c r="F93" i="2"/>
  <c r="F108" i="2"/>
  <c r="H108" i="2"/>
  <c r="J108" i="2"/>
  <c r="D74" i="2"/>
  <c r="D129" i="2"/>
  <c r="O60" i="2"/>
  <c r="O107" i="2"/>
  <c r="D73" i="2"/>
  <c r="O106" i="2"/>
  <c r="O59" i="2"/>
  <c r="O93" i="2"/>
  <c r="D93" i="2"/>
  <c r="D108" i="2"/>
  <c r="H27" i="2" l="1"/>
  <c r="L28" i="2"/>
  <c r="G25" i="2"/>
  <c r="K26" i="2"/>
  <c r="F25" i="2"/>
  <c r="J26" i="2"/>
  <c r="J130" i="2"/>
  <c r="K131" i="2"/>
  <c r="H130" i="2"/>
  <c r="I131" i="2"/>
  <c r="G134" i="2"/>
  <c r="F133" i="2"/>
  <c r="U108" i="2"/>
  <c r="V109" i="2"/>
  <c r="Q108" i="2"/>
  <c r="R109" i="2"/>
  <c r="S109" i="2"/>
  <c r="T110" i="2"/>
  <c r="R95" i="2"/>
  <c r="Q94" i="2"/>
  <c r="U96" i="2"/>
  <c r="U95" i="2"/>
  <c r="T95" i="2"/>
  <c r="S94" i="2"/>
  <c r="F94" i="2"/>
  <c r="H94" i="2"/>
  <c r="J94" i="2"/>
  <c r="F109" i="2"/>
  <c r="J109" i="2"/>
  <c r="H109" i="2"/>
  <c r="O94" i="2"/>
  <c r="D130" i="2"/>
  <c r="O108" i="2"/>
  <c r="D94" i="2"/>
  <c r="D109" i="2"/>
  <c r="D25" i="2"/>
  <c r="H28" i="2" l="1"/>
  <c r="L29" i="2"/>
  <c r="H29" i="2" s="1"/>
  <c r="G26" i="2"/>
  <c r="K27" i="2"/>
  <c r="F26" i="2"/>
  <c r="J27" i="2"/>
  <c r="H131" i="2"/>
  <c r="I132" i="2"/>
  <c r="K132" i="2"/>
  <c r="J131" i="2"/>
  <c r="G135" i="2"/>
  <c r="F134" i="2"/>
  <c r="U109" i="2"/>
  <c r="V110" i="2"/>
  <c r="S110" i="2"/>
  <c r="T111" i="2"/>
  <c r="Q109" i="2"/>
  <c r="R110" i="2"/>
  <c r="T96" i="2"/>
  <c r="S96" i="2" s="1"/>
  <c r="S95" i="2"/>
  <c r="R96" i="2"/>
  <c r="Q96" i="2" s="1"/>
  <c r="Q95" i="2"/>
  <c r="J95" i="2"/>
  <c r="H95" i="2"/>
  <c r="F95" i="2"/>
  <c r="F110" i="2"/>
  <c r="H110" i="2"/>
  <c r="J110" i="2"/>
  <c r="D75" i="2"/>
  <c r="D131" i="2"/>
  <c r="D110" i="2"/>
  <c r="D77" i="2"/>
  <c r="D76" i="2"/>
  <c r="O95" i="2"/>
  <c r="D95" i="2"/>
  <c r="O109" i="2"/>
  <c r="O96" i="2"/>
  <c r="D26" i="2"/>
  <c r="G27" i="2" l="1"/>
  <c r="K28" i="2"/>
  <c r="F27" i="2"/>
  <c r="J28" i="2"/>
  <c r="J132" i="2"/>
  <c r="K133" i="2"/>
  <c r="I133" i="2"/>
  <c r="H132" i="2"/>
  <c r="F135" i="2"/>
  <c r="G136" i="2"/>
  <c r="S111" i="2"/>
  <c r="T112" i="2"/>
  <c r="U110" i="2"/>
  <c r="V111" i="2"/>
  <c r="Q110" i="2"/>
  <c r="R111" i="2"/>
  <c r="J96" i="2"/>
  <c r="F96" i="2"/>
  <c r="H96" i="2"/>
  <c r="J111" i="2"/>
  <c r="H111" i="2"/>
  <c r="F111" i="2"/>
  <c r="D96" i="2"/>
  <c r="O110" i="2"/>
  <c r="D111" i="2"/>
  <c r="D132" i="2"/>
  <c r="D27" i="2"/>
  <c r="G28" i="2" l="1"/>
  <c r="K29" i="2"/>
  <c r="G29" i="2" s="1"/>
  <c r="F28" i="2"/>
  <c r="J29" i="2"/>
  <c r="F29" i="2" s="1"/>
  <c r="I134" i="2"/>
  <c r="H133" i="2"/>
  <c r="K134" i="2"/>
  <c r="J133" i="2"/>
  <c r="F136" i="2"/>
  <c r="G137" i="2"/>
  <c r="Q111" i="2"/>
  <c r="R112" i="2"/>
  <c r="S112" i="2"/>
  <c r="T113" i="2"/>
  <c r="U111" i="2"/>
  <c r="V112" i="2"/>
  <c r="J112" i="2"/>
  <c r="F112" i="2"/>
  <c r="H112" i="2"/>
  <c r="D133" i="2"/>
  <c r="D112" i="2"/>
  <c r="D29" i="2"/>
  <c r="D28" i="2"/>
  <c r="K135" i="2" l="1"/>
  <c r="J134" i="2"/>
  <c r="H134" i="2"/>
  <c r="I135" i="2"/>
  <c r="G138" i="2"/>
  <c r="F138" i="2" s="1"/>
  <c r="F137" i="2"/>
  <c r="U112" i="2"/>
  <c r="V113" i="2"/>
  <c r="S113" i="2"/>
  <c r="T114" i="2"/>
  <c r="Q112" i="2"/>
  <c r="R113" i="2"/>
  <c r="J113" i="2"/>
  <c r="F113" i="2"/>
  <c r="H113" i="2"/>
  <c r="O111" i="2"/>
  <c r="D134" i="2"/>
  <c r="D113" i="2"/>
  <c r="O112" i="2"/>
  <c r="H135" i="2" l="1"/>
  <c r="I136" i="2"/>
  <c r="K136" i="2"/>
  <c r="J135" i="2"/>
  <c r="Q113" i="2"/>
  <c r="R114" i="2"/>
  <c r="S114" i="2"/>
  <c r="T115" i="2"/>
  <c r="U113" i="2"/>
  <c r="V114" i="2"/>
  <c r="H114" i="2"/>
  <c r="J114" i="2"/>
  <c r="F114" i="2"/>
  <c r="D114" i="2"/>
  <c r="D135" i="2"/>
  <c r="J136" i="2" l="1"/>
  <c r="K137" i="2"/>
  <c r="I137" i="2"/>
  <c r="H136" i="2"/>
  <c r="U114" i="2"/>
  <c r="V115" i="2"/>
  <c r="S115" i="2"/>
  <c r="T116" i="2"/>
  <c r="S116" i="2" s="1"/>
  <c r="Q114" i="2"/>
  <c r="R115" i="2"/>
  <c r="F115" i="2"/>
  <c r="F116" i="2"/>
  <c r="J115" i="2"/>
  <c r="J116" i="2"/>
  <c r="H116" i="2"/>
  <c r="H115" i="2"/>
  <c r="O113" i="2"/>
  <c r="O114" i="2"/>
  <c r="D115" i="2"/>
  <c r="D136" i="2"/>
  <c r="D116" i="2"/>
  <c r="I138" i="2" l="1"/>
  <c r="H138" i="2" s="1"/>
  <c r="H137" i="2"/>
  <c r="K138" i="2"/>
  <c r="J138" i="2" s="1"/>
  <c r="J137" i="2"/>
  <c r="Q115" i="2"/>
  <c r="R116" i="2"/>
  <c r="Q116" i="2" s="1"/>
  <c r="U115" i="2"/>
  <c r="V116" i="2"/>
  <c r="U116" i="2" s="1"/>
  <c r="H17" i="2"/>
  <c r="H16" i="2"/>
  <c r="D138" i="2"/>
  <c r="O116" i="2"/>
  <c r="O115" i="2"/>
  <c r="D137" i="2"/>
  <c r="D17" i="2"/>
  <c r="D16" i="2"/>
  <c r="H15" i="2" l="1"/>
  <c r="D15" i="2"/>
  <c r="H14" i="2" l="1"/>
  <c r="D14" i="2"/>
  <c r="H11" i="2" l="1"/>
  <c r="H12" i="2"/>
  <c r="H19" i="2"/>
  <c r="H20" i="2"/>
  <c r="D20" i="2"/>
  <c r="D12" i="2"/>
  <c r="D11" i="2"/>
  <c r="D19" i="2"/>
  <c r="H21" i="2" l="1"/>
  <c r="D21" i="2"/>
  <c r="H22" i="2" l="1"/>
  <c r="D22" i="2"/>
  <c r="H23" i="2" l="1"/>
  <c r="H24" i="2"/>
  <c r="D23" i="2"/>
  <c r="D24" i="2"/>
</calcChain>
</file>

<file path=xl/sharedStrings.xml><?xml version="1.0" encoding="utf-8"?>
<sst xmlns="http://schemas.openxmlformats.org/spreadsheetml/2006/main" count="264" uniqueCount="186">
  <si>
    <t>r</t>
  </si>
  <si>
    <t>g</t>
  </si>
  <si>
    <t>b</t>
  </si>
  <si>
    <t>p (%)</t>
  </si>
  <si>
    <t>t</t>
  </si>
  <si>
    <t>P</t>
  </si>
  <si>
    <t>p&lt;0</t>
  </si>
  <si>
    <t>#FF0000</t>
  </si>
  <si>
    <t>#E60000</t>
  </si>
  <si>
    <t>#7A0000</t>
  </si>
  <si>
    <t>#BA0000</t>
  </si>
  <si>
    <t>#A70000</t>
  </si>
  <si>
    <t>#6E0000</t>
  </si>
  <si>
    <t>#630000</t>
  </si>
  <si>
    <t>#960000</t>
  </si>
  <si>
    <t>#870000</t>
  </si>
  <si>
    <t>#CF0000</t>
  </si>
  <si>
    <t>linear shading</t>
  </si>
  <si>
    <t>log shading</t>
  </si>
  <si>
    <t>#0000FF</t>
  </si>
  <si>
    <t>#FBDFD3</t>
  </si>
  <si>
    <t>#F48000</t>
  </si>
  <si>
    <t>#FACEBA</t>
  </si>
  <si>
    <t>#F59251</t>
  </si>
  <si>
    <t>#F6A06F</t>
  </si>
  <si>
    <t>#F7AC85</t>
  </si>
  <si>
    <t>#F8B696</t>
  </si>
  <si>
    <t>#F9BFA4</t>
  </si>
  <si>
    <t>#FAC6AF</t>
  </si>
  <si>
    <t>#FBCCB9</t>
  </si>
  <si>
    <t>#FBD2C1</t>
  </si>
  <si>
    <t>#FBD7C8</t>
  </si>
  <si>
    <t>#FBDBCE</t>
  </si>
  <si>
    <t>#FBE2D8</t>
  </si>
  <si>
    <t>#FBE5DC</t>
  </si>
  <si>
    <t>#FBEAE3</t>
  </si>
  <si>
    <t>#FBE8E0</t>
  </si>
  <si>
    <t>Color adjust lighter (Linear)</t>
  </si>
  <si>
    <t>Color adjust darker (Linear)</t>
  </si>
  <si>
    <t>base color</t>
  </si>
  <si>
    <t>#7373FF</t>
  </si>
  <si>
    <t>#0000DB</t>
  </si>
  <si>
    <t>#B2B2FF</t>
  </si>
  <si>
    <t>#0000BC</t>
  </si>
  <si>
    <t>#0000A2</t>
  </si>
  <si>
    <t>#D5D5FF</t>
  </si>
  <si>
    <t>#00008B</t>
  </si>
  <si>
    <t>#000067</t>
  </si>
  <si>
    <t>#E8E8FF</t>
  </si>
  <si>
    <t>#000078</t>
  </si>
  <si>
    <t>#F8F8FF</t>
  </si>
  <si>
    <t>#F2F2FF</t>
  </si>
  <si>
    <t>Lighter</t>
  </si>
  <si>
    <t>Darker</t>
  </si>
  <si>
    <t>#0277BD</t>
  </si>
  <si>
    <t>#D9E2EF</t>
  </si>
  <si>
    <t>#86A8D1</t>
  </si>
  <si>
    <t>#6394C8</t>
  </si>
  <si>
    <t>#B0C4DF</t>
  </si>
  <si>
    <t>#9EB8D9</t>
  </si>
  <si>
    <t>#BECEE4</t>
  </si>
  <si>
    <t>#C9D6E8</t>
  </si>
  <si>
    <t>#D2DDEC</t>
  </si>
  <si>
    <t>#DFE7F1</t>
  </si>
  <si>
    <t>#E8EEF5</t>
  </si>
  <si>
    <t>#E4EBF3</t>
  </si>
  <si>
    <t>#EFF3F8</t>
  </si>
  <si>
    <t>#ECF1F7</t>
  </si>
  <si>
    <t>#F1F5F9</t>
  </si>
  <si>
    <t>#F3F7FA</t>
  </si>
  <si>
    <t>#01579B</t>
  </si>
  <si>
    <t>#4181B4</t>
  </si>
  <si>
    <t>#71A1C7</t>
  </si>
  <si>
    <t>#B0CBE0</t>
  </si>
  <si>
    <t>#95B9D5</t>
  </si>
  <si>
    <t>#C4D8E8</t>
  </si>
  <si>
    <t>#D3E2EE</t>
  </si>
  <si>
    <t>#DEE9F2</t>
  </si>
  <si>
    <t>#E6EFF5</t>
  </si>
  <si>
    <t>#ECF3F8</t>
  </si>
  <si>
    <t>cumlative</t>
  </si>
  <si>
    <t>#FFFFFF</t>
  </si>
  <si>
    <t>#016EF0</t>
  </si>
  <si>
    <t>#F2F8FE</t>
  </si>
  <si>
    <t>#1A7DF2</t>
  </si>
  <si>
    <t>#348BF3</t>
  </si>
  <si>
    <t>#67A8F6</t>
  </si>
  <si>
    <t>#4D9AF5</t>
  </si>
  <si>
    <t>#80B7F8</t>
  </si>
  <si>
    <t>#99C5F9</t>
  </si>
  <si>
    <t>#E6F1FE</t>
  </si>
  <si>
    <t>#CCE2FC</t>
  </si>
  <si>
    <t>#B3D4FB</t>
  </si>
  <si>
    <t>progression</t>
  </si>
  <si>
    <t>defined</t>
  </si>
  <si>
    <t>values</t>
  </si>
  <si>
    <t>#F58E48</t>
  </si>
  <si>
    <t>#F6A374</t>
  </si>
  <si>
    <t>#F8B99A</t>
  </si>
  <si>
    <t>#FDECE5</t>
  </si>
  <si>
    <t>#FCDFD3</t>
  </si>
  <si>
    <t>#FEF5F1</t>
  </si>
  <si>
    <t>#FFFAF8</t>
  </si>
  <si>
    <t>#FFFDFC</t>
  </si>
  <si>
    <t>#FFFEFE</t>
  </si>
  <si>
    <t>lighter side</t>
  </si>
  <si>
    <t>darker side</t>
  </si>
  <si>
    <t>ff</t>
  </si>
  <si>
    <t>7f</t>
  </si>
  <si>
    <t>convert hex to decimal</t>
  </si>
  <si>
    <t>final - typical range</t>
  </si>
  <si>
    <t>final - extended range</t>
  </si>
  <si>
    <t>970</t>
  </si>
  <si>
    <t>050</t>
  </si>
  <si>
    <t>010</t>
  </si>
  <si>
    <t>"use this chart for all future color ranges"</t>
  </si>
  <si>
    <t>Test Values</t>
  </si>
  <si>
    <t>color</t>
  </si>
  <si>
    <t>030</t>
  </si>
  <si>
    <t>020</t>
  </si>
  <si>
    <t>040</t>
  </si>
  <si>
    <t>RED</t>
  </si>
  <si>
    <t>BLUE</t>
  </si>
  <si>
    <t>GREEN</t>
  </si>
  <si>
    <t>#FDFFFA</t>
  </si>
  <si>
    <t>#FCFFF6</t>
  </si>
  <si>
    <t>#BEFF50</t>
  </si>
  <si>
    <t>#EBFFCA</t>
  </si>
  <si>
    <t>#A3DB45</t>
  </si>
  <si>
    <t>#DBFF9F</t>
  </si>
  <si>
    <t>#F4FFE2</t>
  </si>
  <si>
    <t>#8CBC3B</t>
  </si>
  <si>
    <t>#78A233</t>
  </si>
  <si>
    <t>#F9FFEF</t>
  </si>
  <si>
    <t>#678B2C</t>
  </si>
  <si>
    <t>#597826</t>
  </si>
  <si>
    <t>#4D6721</t>
  </si>
  <si>
    <t>005</t>
  </si>
  <si>
    <t>#001513</t>
  </si>
  <si>
    <t>#000807</t>
  </si>
  <si>
    <t>#000D0C</t>
  </si>
  <si>
    <t>#B2E9E3</t>
  </si>
  <si>
    <t>#D2F2EF</t>
  </si>
  <si>
    <t>#00B4A0</t>
  </si>
  <si>
    <t>#ACE7E0</t>
  </si>
  <si>
    <t>#002D28</t>
  </si>
  <si>
    <t>#001F1C</t>
  </si>
  <si>
    <t>#17BBA9</t>
  </si>
  <si>
    <t>#38C5B5</t>
  </si>
  <si>
    <t>#5FD0C4</t>
  </si>
  <si>
    <t>#87DCD3</t>
  </si>
  <si>
    <t>#009383</t>
  </si>
  <si>
    <t>#00A693</t>
  </si>
  <si>
    <t>#007E70</t>
  </si>
  <si>
    <t>#00685C</t>
  </si>
  <si>
    <t>#005249</t>
  </si>
  <si>
    <t>#003E37</t>
  </si>
  <si>
    <t>#010609</t>
  </si>
  <si>
    <t>#010406</t>
  </si>
  <si>
    <t>#0396FF</t>
  </si>
  <si>
    <t>#1A9FFF</t>
  </si>
  <si>
    <t>#038BED</t>
  </si>
  <si>
    <t>#036FBE</t>
  </si>
  <si>
    <t>#037ED7</t>
  </si>
  <si>
    <t>#30A8FF</t>
  </si>
  <si>
    <t>#02406E</t>
  </si>
  <si>
    <t>#035FA3</t>
  </si>
  <si>
    <t>#44B1FF</t>
  </si>
  <si>
    <t>#69C0FF</t>
  </si>
  <si>
    <t>#024F87</t>
  </si>
  <si>
    <t>#57B9FF</t>
  </si>
  <si>
    <t>#022844</t>
  </si>
  <si>
    <t>#023358</t>
  </si>
  <si>
    <t>#021E33</t>
  </si>
  <si>
    <t>#79C7FF</t>
  </si>
  <si>
    <t>#88CDFF</t>
  </si>
  <si>
    <t>#011625</t>
  </si>
  <si>
    <t>#010B13</t>
  </si>
  <si>
    <t>#01101B</t>
  </si>
  <si>
    <t>#96D3FF</t>
  </si>
  <si>
    <t>#01080D</t>
  </si>
  <si>
    <t>#A2D8FF</t>
  </si>
  <si>
    <t>#ADDDFF</t>
  </si>
  <si>
    <t>#B7E1FF</t>
  </si>
  <si>
    <t>#C0E5FF</t>
  </si>
  <si>
    <t>#C8E8FF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</si>
</sst>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#"/>
    <numFmt numFmtId="166" formatCode="000"/>
  </numFmts>
  <fonts count="6" x14ac:knownFonts="1"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0" tint="-0.34998626667073579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 tint="0.34998626667073579"/>
      <name val="Calibri"/>
      <family val="2"/>
      <scheme val="minor"/>
    </font>
  </fonts>
  <fills count="15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277BD"/>
        <bgColor indexed="64"/>
      </patternFill>
    </fill>
    <fill>
      <patternFill patternType="solid">
        <fgColor rgb="FF01579B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rgb="FF7A0000"/>
        <bgColor indexed="64"/>
      </patternFill>
    </fill>
    <fill>
      <patternFill patternType="solid">
        <fgColor rgb="FFBA0000"/>
        <bgColor indexed="64"/>
      </patternFill>
    </fill>
    <fill>
      <patternFill patternType="solid">
        <fgColor rgb="FFA70000"/>
        <bgColor indexed="64"/>
      </patternFill>
    </fill>
    <fill>
      <patternFill patternType="solid">
        <fgColor rgb="FF6E0000"/>
        <bgColor indexed="64"/>
      </patternFill>
    </fill>
    <fill>
      <patternFill patternType="solid">
        <fgColor rgb="FF630000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870000"/>
        <bgColor indexed="64"/>
      </patternFill>
    </fill>
    <fill>
      <patternFill patternType="solid">
        <fgColor rgb="FFCF0000"/>
        <bgColor indexed="64"/>
      </patternFill>
    </fill>
    <fill>
      <patternFill patternType="solid">
        <fgColor rgb="FFFBDFD3"/>
        <bgColor indexed="64"/>
      </patternFill>
    </fill>
    <fill>
      <patternFill patternType="solid">
        <fgColor rgb="FFF48000"/>
        <bgColor indexed="64"/>
      </patternFill>
    </fill>
    <fill>
      <patternFill patternType="solid">
        <fgColor rgb="FFFACEBA"/>
        <bgColor indexed="64"/>
      </patternFill>
    </fill>
    <fill>
      <patternFill patternType="solid">
        <fgColor rgb="FFF59251"/>
        <bgColor indexed="64"/>
      </patternFill>
    </fill>
    <fill>
      <patternFill patternType="solid">
        <fgColor rgb="FFF6A06F"/>
        <bgColor indexed="64"/>
      </patternFill>
    </fill>
    <fill>
      <patternFill patternType="solid">
        <fgColor rgb="FFF7AC85"/>
        <bgColor indexed="64"/>
      </patternFill>
    </fill>
    <fill>
      <patternFill patternType="solid">
        <fgColor rgb="FFF8B696"/>
        <bgColor indexed="64"/>
      </patternFill>
    </fill>
    <fill>
      <patternFill patternType="solid">
        <fgColor rgb="FFF9BFA4"/>
        <bgColor indexed="64"/>
      </patternFill>
    </fill>
    <fill>
      <patternFill patternType="solid">
        <fgColor rgb="FFFAC6AF"/>
        <bgColor indexed="64"/>
      </patternFill>
    </fill>
    <fill>
      <patternFill patternType="solid">
        <fgColor rgb="FFFBCCB9"/>
        <bgColor indexed="64"/>
      </patternFill>
    </fill>
    <fill>
      <patternFill patternType="solid">
        <fgColor rgb="FFFBD2C1"/>
        <bgColor indexed="64"/>
      </patternFill>
    </fill>
    <fill>
      <patternFill patternType="solid">
        <fgColor rgb="FFFBD7C8"/>
        <bgColor indexed="64"/>
      </patternFill>
    </fill>
    <fill>
      <patternFill patternType="solid">
        <fgColor rgb="FFFBDBCE"/>
        <bgColor indexed="64"/>
      </patternFill>
    </fill>
    <fill>
      <patternFill patternType="solid">
        <fgColor rgb="FFFBE2D8"/>
        <bgColor indexed="64"/>
      </patternFill>
    </fill>
    <fill>
      <patternFill patternType="solid">
        <fgColor rgb="FFFBE5DC"/>
        <bgColor indexed="64"/>
      </patternFill>
    </fill>
    <fill>
      <patternFill patternType="solid">
        <fgColor rgb="FFFBEAE3"/>
        <bgColor indexed="64"/>
      </patternFill>
    </fill>
    <fill>
      <patternFill patternType="solid">
        <fgColor rgb="FFFBE8E0"/>
        <bgColor indexed="64"/>
      </patternFill>
    </fill>
    <fill>
      <patternFill patternType="solid">
        <fgColor rgb="FF7373FF"/>
        <bgColor indexed="64"/>
      </patternFill>
    </fill>
    <fill>
      <patternFill patternType="solid">
        <fgColor rgb="FF0000DB"/>
        <bgColor indexed="64"/>
      </patternFill>
    </fill>
    <fill>
      <patternFill patternType="solid">
        <fgColor rgb="FFB2B2FF"/>
        <bgColor indexed="64"/>
      </patternFill>
    </fill>
    <fill>
      <patternFill patternType="solid">
        <fgColor rgb="FF0000BC"/>
        <bgColor indexed="64"/>
      </patternFill>
    </fill>
    <fill>
      <patternFill patternType="solid">
        <fgColor rgb="FF0000A2"/>
        <bgColor indexed="64"/>
      </patternFill>
    </fill>
    <fill>
      <patternFill patternType="solid">
        <fgColor rgb="FFD5D5FF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67"/>
        <bgColor indexed="64"/>
      </patternFill>
    </fill>
    <fill>
      <patternFill patternType="solid">
        <fgColor rgb="FFE8E8FF"/>
        <bgColor indexed="64"/>
      </patternFill>
    </fill>
    <fill>
      <patternFill patternType="solid">
        <fgColor rgb="FF000078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2F2FF"/>
        <bgColor indexed="64"/>
      </patternFill>
    </fill>
    <fill>
      <patternFill patternType="solid">
        <fgColor rgb="FFD9E2EF"/>
        <bgColor indexed="64"/>
      </patternFill>
    </fill>
    <fill>
      <patternFill patternType="solid">
        <fgColor rgb="FF86A8D1"/>
        <bgColor indexed="64"/>
      </patternFill>
    </fill>
    <fill>
      <patternFill patternType="solid">
        <fgColor rgb="FF6394C8"/>
        <bgColor indexed="64"/>
      </patternFill>
    </fill>
    <fill>
      <patternFill patternType="solid">
        <fgColor rgb="FFB0C4DF"/>
        <bgColor indexed="64"/>
      </patternFill>
    </fill>
    <fill>
      <patternFill patternType="solid">
        <fgColor rgb="FF9EB8D9"/>
        <bgColor indexed="64"/>
      </patternFill>
    </fill>
    <fill>
      <patternFill patternType="solid">
        <fgColor rgb="FFBECEE4"/>
        <bgColor indexed="64"/>
      </patternFill>
    </fill>
    <fill>
      <patternFill patternType="solid">
        <fgColor rgb="FFC9D6E8"/>
        <bgColor indexed="64"/>
      </patternFill>
    </fill>
    <fill>
      <patternFill patternType="solid">
        <fgColor rgb="FFD2DDEC"/>
        <bgColor indexed="64"/>
      </patternFill>
    </fill>
    <fill>
      <patternFill patternType="solid">
        <fgColor rgb="FFDFE7F1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E4EBF3"/>
        <bgColor indexed="64"/>
      </patternFill>
    </fill>
    <fill>
      <patternFill patternType="solid">
        <fgColor rgb="FFEFF3F8"/>
        <bgColor indexed="64"/>
      </patternFill>
    </fill>
    <fill>
      <patternFill patternType="solid">
        <fgColor rgb="FFECF1F7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3F7FA"/>
        <bgColor indexed="64"/>
      </patternFill>
    </fill>
    <fill>
      <patternFill patternType="solid">
        <fgColor rgb="FF4181B4"/>
        <bgColor indexed="64"/>
      </patternFill>
    </fill>
    <fill>
      <patternFill patternType="solid">
        <fgColor rgb="FF71A1C7"/>
        <bgColor indexed="64"/>
      </patternFill>
    </fill>
    <fill>
      <patternFill patternType="solid">
        <fgColor rgb="FFB0CBE0"/>
        <bgColor indexed="64"/>
      </patternFill>
    </fill>
    <fill>
      <patternFill patternType="solid">
        <fgColor rgb="FF95B9D5"/>
        <bgColor indexed="64"/>
      </patternFill>
    </fill>
    <fill>
      <patternFill patternType="solid">
        <fgColor rgb="FFC4D8E8"/>
        <bgColor indexed="64"/>
      </patternFill>
    </fill>
    <fill>
      <patternFill patternType="solid">
        <fgColor rgb="FFD3E2EE"/>
        <bgColor indexed="64"/>
      </patternFill>
    </fill>
    <fill>
      <patternFill patternType="solid">
        <fgColor rgb="FFDEE9F2"/>
        <bgColor indexed="64"/>
      </patternFill>
    </fill>
    <fill>
      <patternFill patternType="solid">
        <fgColor rgb="FFE6EFF5"/>
        <bgColor indexed="64"/>
      </patternFill>
    </fill>
    <fill>
      <patternFill patternType="solid">
        <fgColor rgb="FFECF3F8"/>
        <bgColor indexed="64"/>
      </patternFill>
    </fill>
    <fill>
      <patternFill patternType="solid">
        <fgColor rgb="FF016EF0"/>
        <bgColor indexed="64"/>
      </patternFill>
    </fill>
    <fill>
      <patternFill patternType="solid">
        <fgColor rgb="FFF2F8FE"/>
        <bgColor indexed="64"/>
      </patternFill>
    </fill>
    <fill>
      <patternFill patternType="solid">
        <fgColor rgb="FF1A7DF2"/>
        <bgColor indexed="64"/>
      </patternFill>
    </fill>
    <fill>
      <patternFill patternType="solid">
        <fgColor rgb="FF348BF3"/>
        <bgColor indexed="64"/>
      </patternFill>
    </fill>
    <fill>
      <patternFill patternType="solid">
        <fgColor rgb="FF67A8F6"/>
        <bgColor indexed="64"/>
      </patternFill>
    </fill>
    <fill>
      <patternFill patternType="solid">
        <fgColor rgb="FF4D9AF5"/>
        <bgColor indexed="64"/>
      </patternFill>
    </fill>
    <fill>
      <patternFill patternType="solid">
        <fgColor rgb="FF80B7F8"/>
        <bgColor indexed="64"/>
      </patternFill>
    </fill>
    <fill>
      <patternFill patternType="solid">
        <fgColor rgb="FF99C5F9"/>
        <bgColor indexed="64"/>
      </patternFill>
    </fill>
    <fill>
      <patternFill patternType="solid">
        <fgColor rgb="FFE6F1FE"/>
        <bgColor indexed="64"/>
      </patternFill>
    </fill>
    <fill>
      <patternFill patternType="solid">
        <fgColor rgb="FFCCE2FC"/>
        <bgColor indexed="64"/>
      </patternFill>
    </fill>
    <fill>
      <patternFill patternType="solid">
        <fgColor rgb="FFB3D4FB"/>
        <bgColor indexed="64"/>
      </patternFill>
    </fill>
    <fill>
      <patternFill patternType="solid">
        <fgColor rgb="FFF58E48"/>
        <bgColor indexed="64"/>
      </patternFill>
    </fill>
    <fill>
      <patternFill patternType="solid">
        <fgColor rgb="FFF6A374"/>
        <bgColor indexed="64"/>
      </patternFill>
    </fill>
    <fill>
      <patternFill patternType="solid">
        <fgColor rgb="FFF8B99A"/>
        <bgColor indexed="64"/>
      </patternFill>
    </fill>
    <fill>
      <patternFill patternType="solid">
        <fgColor rgb="FFFDECE5"/>
        <bgColor indexed="64"/>
      </patternFill>
    </fill>
    <fill>
      <patternFill patternType="solid">
        <fgColor rgb="FFFCDFD3"/>
        <bgColor indexed="64"/>
      </patternFill>
    </fill>
    <fill>
      <patternFill patternType="solid">
        <fgColor rgb="FFFEF5F1"/>
        <bgColor indexed="64"/>
      </patternFill>
    </fill>
    <fill>
      <patternFill patternType="solid">
        <fgColor rgb="FFFFFAF8"/>
        <bgColor indexed="64"/>
      </patternFill>
    </fill>
    <fill>
      <patternFill patternType="solid">
        <fgColor rgb="FFFFFDFC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FDFFFA"/>
        <bgColor indexed="64"/>
      </patternFill>
    </fill>
    <fill>
      <patternFill patternType="solid">
        <fgColor rgb="FFFCFFF6"/>
        <bgColor indexed="64"/>
      </patternFill>
    </fill>
    <fill>
      <patternFill patternType="solid">
        <fgColor rgb="FFBEFF50"/>
        <bgColor indexed="64"/>
      </patternFill>
    </fill>
    <fill>
      <patternFill patternType="solid">
        <fgColor rgb="FFEBFFCA"/>
        <bgColor indexed="64"/>
      </patternFill>
    </fill>
    <fill>
      <patternFill patternType="solid">
        <fgColor rgb="FFA3DB45"/>
        <bgColor indexed="64"/>
      </patternFill>
    </fill>
    <fill>
      <patternFill patternType="solid">
        <fgColor rgb="FFDBFF9F"/>
        <bgColor indexed="64"/>
      </patternFill>
    </fill>
    <fill>
      <patternFill patternType="solid">
        <fgColor rgb="FFF4FFE2"/>
        <bgColor indexed="64"/>
      </patternFill>
    </fill>
    <fill>
      <patternFill patternType="solid">
        <fgColor rgb="FF8CBC3B"/>
        <bgColor indexed="64"/>
      </patternFill>
    </fill>
    <fill>
      <patternFill patternType="solid">
        <fgColor rgb="FF78A233"/>
        <bgColor indexed="64"/>
      </patternFill>
    </fill>
    <fill>
      <patternFill patternType="solid">
        <fgColor rgb="FFF9FFEF"/>
        <bgColor indexed="64"/>
      </patternFill>
    </fill>
    <fill>
      <patternFill patternType="solid">
        <fgColor rgb="FF678B2C"/>
        <bgColor indexed="64"/>
      </patternFill>
    </fill>
    <fill>
      <patternFill patternType="solid">
        <fgColor rgb="FF597826"/>
        <bgColor indexed="64"/>
      </patternFill>
    </fill>
    <fill>
      <patternFill patternType="solid">
        <fgColor rgb="FF4D6721"/>
        <bgColor indexed="64"/>
      </patternFill>
    </fill>
    <fill>
      <patternFill patternType="solid">
        <fgColor rgb="FF001513"/>
        <bgColor indexed="64"/>
      </patternFill>
    </fill>
    <fill>
      <patternFill patternType="solid">
        <fgColor rgb="FF000807"/>
        <bgColor indexed="64"/>
      </patternFill>
    </fill>
    <fill>
      <patternFill patternType="solid">
        <fgColor rgb="FF000D0C"/>
        <bgColor indexed="64"/>
      </patternFill>
    </fill>
    <fill>
      <patternFill patternType="solid">
        <fgColor rgb="FFB2E9E3"/>
        <bgColor indexed="64"/>
      </patternFill>
    </fill>
    <fill>
      <patternFill patternType="solid">
        <fgColor rgb="FFD2F2EF"/>
        <bgColor indexed="64"/>
      </patternFill>
    </fill>
    <fill>
      <patternFill patternType="solid">
        <fgColor rgb="FF00B4A0"/>
        <bgColor indexed="64"/>
      </patternFill>
    </fill>
    <fill>
      <patternFill patternType="solid">
        <fgColor rgb="FFACE7E0"/>
        <bgColor indexed="64"/>
      </patternFill>
    </fill>
    <fill>
      <patternFill patternType="solid">
        <fgColor rgb="FF002D28"/>
        <bgColor indexed="64"/>
      </patternFill>
    </fill>
    <fill>
      <patternFill patternType="solid">
        <fgColor rgb="FF001F1C"/>
        <bgColor indexed="64"/>
      </patternFill>
    </fill>
    <fill>
      <patternFill patternType="solid">
        <fgColor rgb="FF17BBA9"/>
        <bgColor indexed="64"/>
      </patternFill>
    </fill>
    <fill>
      <patternFill patternType="solid">
        <fgColor rgb="FF38C5B5"/>
        <bgColor indexed="64"/>
      </patternFill>
    </fill>
    <fill>
      <patternFill patternType="solid">
        <fgColor rgb="FF5FD0C4"/>
        <bgColor indexed="64"/>
      </patternFill>
    </fill>
    <fill>
      <patternFill patternType="solid">
        <fgColor rgb="FF87DCD3"/>
        <bgColor indexed="64"/>
      </patternFill>
    </fill>
    <fill>
      <patternFill patternType="solid">
        <fgColor rgb="FF009383"/>
        <bgColor indexed="64"/>
      </patternFill>
    </fill>
    <fill>
      <patternFill patternType="solid">
        <fgColor rgb="FF00A693"/>
        <bgColor indexed="64"/>
      </patternFill>
    </fill>
    <fill>
      <patternFill patternType="solid">
        <fgColor rgb="FF007E70"/>
        <bgColor indexed="64"/>
      </patternFill>
    </fill>
    <fill>
      <patternFill patternType="solid">
        <fgColor rgb="FF00685C"/>
        <bgColor indexed="64"/>
      </patternFill>
    </fill>
    <fill>
      <patternFill patternType="solid">
        <fgColor rgb="FF005249"/>
        <bgColor indexed="64"/>
      </patternFill>
    </fill>
    <fill>
      <patternFill patternType="solid">
        <fgColor rgb="FF003E37"/>
        <bgColor indexed="64"/>
      </patternFill>
    </fill>
    <fill>
      <patternFill patternType="solid">
        <fgColor rgb="FF010609"/>
        <bgColor indexed="64"/>
      </patternFill>
    </fill>
    <fill>
      <patternFill patternType="solid">
        <fgColor rgb="FF010406"/>
        <bgColor indexed="64"/>
      </patternFill>
    </fill>
    <fill>
      <patternFill patternType="solid">
        <fgColor rgb="FF0396FF"/>
        <bgColor indexed="64"/>
      </patternFill>
    </fill>
    <fill>
      <patternFill patternType="solid">
        <fgColor rgb="FF1A9FFF"/>
        <bgColor indexed="64"/>
      </patternFill>
    </fill>
    <fill>
      <patternFill patternType="solid">
        <fgColor rgb="FF038BED"/>
        <bgColor indexed="64"/>
      </patternFill>
    </fill>
    <fill>
      <patternFill patternType="solid">
        <fgColor rgb="FF036FBE"/>
        <bgColor indexed="64"/>
      </patternFill>
    </fill>
    <fill>
      <patternFill patternType="solid">
        <fgColor rgb="FF037ED7"/>
        <bgColor indexed="64"/>
      </patternFill>
    </fill>
    <fill>
      <patternFill patternType="solid">
        <fgColor rgb="FF30A8FF"/>
        <bgColor indexed="64"/>
      </patternFill>
    </fill>
    <fill>
      <patternFill patternType="solid">
        <fgColor rgb="FF02406E"/>
        <bgColor indexed="64"/>
      </patternFill>
    </fill>
    <fill>
      <patternFill patternType="solid">
        <fgColor rgb="FF035FA3"/>
        <bgColor indexed="64"/>
      </patternFill>
    </fill>
    <fill>
      <patternFill patternType="solid">
        <fgColor rgb="FF44B1FF"/>
        <bgColor indexed="64"/>
      </patternFill>
    </fill>
    <fill>
      <patternFill patternType="solid">
        <fgColor rgb="FF69C0FF"/>
        <bgColor indexed="64"/>
      </patternFill>
    </fill>
    <fill>
      <patternFill patternType="solid">
        <fgColor rgb="FF024F87"/>
        <bgColor indexed="64"/>
      </patternFill>
    </fill>
    <fill>
      <patternFill patternType="solid">
        <fgColor rgb="FF57B9FF"/>
        <bgColor indexed="64"/>
      </patternFill>
    </fill>
    <fill>
      <patternFill patternType="solid">
        <fgColor rgb="FF022844"/>
        <bgColor indexed="64"/>
      </patternFill>
    </fill>
    <fill>
      <patternFill patternType="solid">
        <fgColor rgb="FF023358"/>
        <bgColor indexed="64"/>
      </patternFill>
    </fill>
    <fill>
      <patternFill patternType="solid">
        <fgColor rgb="FF021E33"/>
        <bgColor indexed="64"/>
      </patternFill>
    </fill>
    <fill>
      <patternFill patternType="solid">
        <fgColor rgb="FF79C7FF"/>
        <bgColor indexed="64"/>
      </patternFill>
    </fill>
    <fill>
      <patternFill patternType="solid">
        <fgColor rgb="FF88CDFF"/>
        <bgColor indexed="64"/>
      </patternFill>
    </fill>
    <fill>
      <patternFill patternType="solid">
        <fgColor rgb="FF011625"/>
        <bgColor indexed="64"/>
      </patternFill>
    </fill>
    <fill>
      <patternFill patternType="solid">
        <fgColor rgb="FF010B13"/>
        <bgColor indexed="64"/>
      </patternFill>
    </fill>
    <fill>
      <patternFill patternType="solid">
        <fgColor rgb="FF01101B"/>
        <bgColor indexed="64"/>
      </patternFill>
    </fill>
    <fill>
      <patternFill patternType="solid">
        <fgColor rgb="FF96D3FF"/>
        <bgColor indexed="64"/>
      </patternFill>
    </fill>
    <fill>
      <patternFill patternType="solid">
        <fgColor rgb="FF01080D"/>
        <bgColor indexed="64"/>
      </patternFill>
    </fill>
    <fill>
      <patternFill patternType="solid">
        <fgColor rgb="FFA2D8FF"/>
        <bgColor indexed="64"/>
      </patternFill>
    </fill>
    <fill>
      <patternFill patternType="solid">
        <fgColor rgb="FFADDDFF"/>
        <bgColor indexed="64"/>
      </patternFill>
    </fill>
    <fill>
      <patternFill patternType="solid">
        <fgColor rgb="FFB7E1FF"/>
        <bgColor indexed="64"/>
      </patternFill>
    </fill>
    <fill>
      <patternFill patternType="solid">
        <fgColor rgb="FFC0E5FF"/>
        <bgColor indexed="64"/>
      </patternFill>
    </fill>
    <fill>
      <patternFill patternType="solid">
        <fgColor rgb="FFC8E8FF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</borders>
  <cellStyleXfs count="1">
    <xf numFmtId="0" fontId="0" fillId="89" borderId="2"/>
  </cellStyleXfs>
  <cellXfs count="191">
    <xf numFmtId="0" fontId="0" fillId="89" borderId="2" xfId="0"/>
    <xf numFmtId="164" fontId="0" fillId="89" borderId="2" xfId="0" applyNumberFormat="1"/>
    <xf numFmtId="0" fontId="0" fillId="2" borderId="2" xfId="0" applyFill="1"/>
    <xf numFmtId="165" fontId="0" fillId="89" borderId="2" xfId="0" applyNumberFormat="1"/>
    <xf numFmtId="0" fontId="0" fillId="7" borderId="2" xfId="0" applyFill="1"/>
    <xf numFmtId="0" fontId="0" fillId="8" borderId="2" xfId="0" applyFill="1"/>
    <xf numFmtId="0" fontId="0" fillId="9" borderId="2" xfId="0" applyFill="1"/>
    <xf numFmtId="0" fontId="0" fillId="10" borderId="2" xfId="0" applyFill="1"/>
    <xf numFmtId="0" fontId="0" fillId="11" borderId="2" xfId="0" applyFill="1"/>
    <xf numFmtId="0" fontId="0" fillId="12" borderId="2" xfId="0" applyFill="1"/>
    <xf numFmtId="0" fontId="0" fillId="13" borderId="2" xfId="0" applyFill="1"/>
    <xf numFmtId="0" fontId="0" fillId="14" borderId="2" xfId="0" applyFill="1"/>
    <xf numFmtId="0" fontId="0" fillId="15" borderId="2" xfId="0" applyFill="1"/>
    <xf numFmtId="0" fontId="0" fillId="89" borderId="2" xfId="0" applyAlignment="1">
      <alignment horizontal="center"/>
    </xf>
    <xf numFmtId="0" fontId="0" fillId="89" borderId="2" xfId="0" applyAlignment="1">
      <alignment horizontal="center" vertical="top"/>
    </xf>
    <xf numFmtId="0" fontId="0" fillId="16" borderId="2" xfId="0" applyFill="1"/>
    <xf numFmtId="0" fontId="0" fillId="17" borderId="2" xfId="0" applyFill="1"/>
    <xf numFmtId="0" fontId="0" fillId="18" borderId="2" xfId="0" applyFill="1"/>
    <xf numFmtId="0" fontId="0" fillId="19" borderId="2" xfId="0" applyFill="1"/>
    <xf numFmtId="0" fontId="0" fillId="20" borderId="2" xfId="0" applyFill="1"/>
    <xf numFmtId="0" fontId="0" fillId="21" borderId="2" xfId="0" applyFill="1"/>
    <xf numFmtId="0" fontId="0" fillId="22" borderId="2" xfId="0" applyFill="1"/>
    <xf numFmtId="0" fontId="0" fillId="23" borderId="2" xfId="0" applyFill="1"/>
    <xf numFmtId="0" fontId="0" fillId="24" borderId="2" xfId="0" applyFill="1"/>
    <xf numFmtId="0" fontId="0" fillId="25" borderId="2" xfId="0" applyFill="1"/>
    <xf numFmtId="0" fontId="0" fillId="26" borderId="2" xfId="0" applyFill="1"/>
    <xf numFmtId="0" fontId="0" fillId="27" borderId="2" xfId="0" applyFill="1"/>
    <xf numFmtId="0" fontId="0" fillId="28" borderId="2" xfId="0" applyFill="1"/>
    <xf numFmtId="0" fontId="0" fillId="29" borderId="2" xfId="0" applyFill="1"/>
    <xf numFmtId="0" fontId="0" fillId="30" borderId="2" xfId="0" applyFill="1"/>
    <xf numFmtId="0" fontId="0" fillId="31" borderId="2" xfId="0" applyFill="1"/>
    <xf numFmtId="0" fontId="0" fillId="32" borderId="2" xfId="0" applyFill="1"/>
    <xf numFmtId="0" fontId="0" fillId="89" borderId="2" xfId="0" applyAlignment="1">
      <alignment horizontal="left" vertical="top"/>
    </xf>
    <xf numFmtId="2" fontId="0" fillId="89" borderId="2" xfId="0" applyNumberFormat="1"/>
    <xf numFmtId="0" fontId="1" fillId="89" borderId="2" xfId="0" applyFont="1"/>
    <xf numFmtId="0" fontId="2" fillId="89" borderId="2" xfId="0" applyFont="1"/>
    <xf numFmtId="165" fontId="0" fillId="89" borderId="2" xfId="0" applyNumberFormat="1" applyAlignment="1">
      <alignment horizontal="center"/>
    </xf>
    <xf numFmtId="0" fontId="0" fillId="33" borderId="2" xfId="0" applyFill="1"/>
    <xf numFmtId="0" fontId="0" fillId="34" borderId="2" xfId="0" applyFill="1"/>
    <xf numFmtId="0" fontId="0" fillId="35" borderId="2" xfId="0" applyFill="1"/>
    <xf numFmtId="0" fontId="0" fillId="36" borderId="2" xfId="0" applyFill="1"/>
    <xf numFmtId="0" fontId="0" fillId="37" borderId="2" xfId="0" applyFill="1"/>
    <xf numFmtId="0" fontId="0" fillId="38" borderId="2" xfId="0" applyFill="1"/>
    <xf numFmtId="0" fontId="0" fillId="39" borderId="2" xfId="0" applyFill="1"/>
    <xf numFmtId="0" fontId="0" fillId="40" borderId="2" xfId="0" applyFill="1"/>
    <xf numFmtId="0" fontId="0" fillId="41" borderId="2" xfId="0" applyFill="1"/>
    <xf numFmtId="0" fontId="0" fillId="42" borderId="2" xfId="0" applyFill="1"/>
    <xf numFmtId="0" fontId="0" fillId="43" borderId="2" xfId="0" applyFill="1"/>
    <xf numFmtId="0" fontId="0" fillId="44" borderId="2" xfId="0" applyFill="1"/>
    <xf numFmtId="0" fontId="1" fillId="89" borderId="2" xfId="0" applyFont="1" applyAlignment="1">
      <alignment horizontal="center" vertical="top"/>
    </xf>
    <xf numFmtId="2" fontId="1" fillId="89" borderId="2" xfId="0" applyNumberFormat="1" applyFont="1"/>
    <xf numFmtId="0" fontId="1" fillId="89" borderId="2" xfId="0" quotePrefix="1" applyFont="1" applyAlignment="1">
      <alignment horizontal="center" vertical="top"/>
    </xf>
    <xf numFmtId="0" fontId="0" fillId="5" borderId="2" xfId="0" applyFill="1"/>
    <xf numFmtId="0" fontId="0" fillId="45" borderId="2" xfId="0" applyFill="1"/>
    <xf numFmtId="0" fontId="0" fillId="46" borderId="2" xfId="0" applyFill="1"/>
    <xf numFmtId="0" fontId="0" fillId="47" borderId="2" xfId="0" applyFill="1"/>
    <xf numFmtId="0" fontId="0" fillId="48" borderId="2" xfId="0" applyFill="1"/>
    <xf numFmtId="0" fontId="0" fillId="49" borderId="2" xfId="0" applyFill="1"/>
    <xf numFmtId="0" fontId="0" fillId="50" borderId="2" xfId="0" applyFill="1"/>
    <xf numFmtId="0" fontId="0" fillId="51" borderId="2" xfId="0" applyFill="1"/>
    <xf numFmtId="0" fontId="0" fillId="52" borderId="2" xfId="0" applyFill="1"/>
    <xf numFmtId="0" fontId="0" fillId="53" borderId="2" xfId="0" applyFill="1"/>
    <xf numFmtId="0" fontId="0" fillId="54" borderId="2" xfId="0" applyFill="1"/>
    <xf numFmtId="0" fontId="0" fillId="55" borderId="2" xfId="0" applyFill="1"/>
    <xf numFmtId="0" fontId="0" fillId="56" borderId="2" xfId="0" applyFill="1"/>
    <xf numFmtId="0" fontId="0" fillId="57" borderId="2" xfId="0" applyFill="1"/>
    <xf numFmtId="0" fontId="0" fillId="58" borderId="2" xfId="0" applyFill="1"/>
    <xf numFmtId="0" fontId="0" fillId="59" borderId="2" xfId="0" applyFill="1"/>
    <xf numFmtId="0" fontId="0" fillId="6" borderId="2" xfId="0" applyFill="1"/>
    <xf numFmtId="0" fontId="0" fillId="60" borderId="2" xfId="0" applyFill="1"/>
    <xf numFmtId="0" fontId="0" fillId="61" borderId="2" xfId="0" applyFill="1"/>
    <xf numFmtId="0" fontId="0" fillId="62" borderId="2" xfId="0" applyFill="1"/>
    <xf numFmtId="0" fontId="0" fillId="63" borderId="2" xfId="0" applyFill="1"/>
    <xf numFmtId="0" fontId="0" fillId="64" borderId="2" xfId="0" applyFill="1"/>
    <xf numFmtId="0" fontId="0" fillId="65" borderId="2" xfId="0" applyFill="1"/>
    <xf numFmtId="0" fontId="0" fillId="66" borderId="2" xfId="0" applyFill="1"/>
    <xf numFmtId="0" fontId="0" fillId="67" borderId="2" xfId="0" applyFill="1"/>
    <xf numFmtId="0" fontId="0" fillId="68" borderId="2" xfId="0" applyFill="1"/>
    <xf numFmtId="0" fontId="0" fillId="3" borderId="2" xfId="0" applyFill="1"/>
    <xf numFmtId="0" fontId="0" fillId="69" borderId="2" xfId="0" applyFill="1"/>
    <xf numFmtId="0" fontId="0" fillId="70" borderId="2" xfId="0" applyFill="1"/>
    <xf numFmtId="0" fontId="0" fillId="71" borderId="2" xfId="0" applyFill="1"/>
    <xf numFmtId="0" fontId="0" fillId="72" borderId="2" xfId="0" applyFill="1"/>
    <xf numFmtId="0" fontId="0" fillId="73" borderId="2" xfId="0" applyFill="1"/>
    <xf numFmtId="0" fontId="0" fillId="74" borderId="2" xfId="0" applyFill="1"/>
    <xf numFmtId="0" fontId="0" fillId="75" borderId="2" xfId="0" applyFill="1"/>
    <xf numFmtId="0" fontId="0" fillId="76" borderId="2" xfId="0" applyFill="1"/>
    <xf numFmtId="0" fontId="0" fillId="77" borderId="2" xfId="0" applyFill="1"/>
    <xf numFmtId="0" fontId="0" fillId="78" borderId="2" xfId="0" applyFill="1"/>
    <xf numFmtId="0" fontId="0" fillId="79" borderId="2" xfId="0" applyFill="1"/>
    <xf numFmtId="0" fontId="0" fillId="89" borderId="1" xfId="0" applyBorder="1" applyAlignment="1">
      <alignment horizontal="center" vertical="top"/>
    </xf>
    <xf numFmtId="0" fontId="0" fillId="4" borderId="1" xfId="0" applyFill="1" applyBorder="1"/>
    <xf numFmtId="0" fontId="0" fillId="89" borderId="1" xfId="0" applyBorder="1"/>
    <xf numFmtId="165" fontId="0" fillId="89" borderId="1" xfId="0" applyNumberFormat="1" applyBorder="1" applyAlignment="1">
      <alignment horizontal="center"/>
    </xf>
    <xf numFmtId="0" fontId="2" fillId="89" borderId="1" xfId="0" applyFont="1" applyBorder="1"/>
    <xf numFmtId="0" fontId="0" fillId="80" borderId="2" xfId="0" applyFill="1"/>
    <xf numFmtId="0" fontId="0" fillId="81" borderId="2" xfId="0" applyFill="1"/>
    <xf numFmtId="0" fontId="0" fillId="82" borderId="2" xfId="0" applyFill="1"/>
    <xf numFmtId="0" fontId="0" fillId="83" borderId="2" xfId="0" applyFill="1"/>
    <xf numFmtId="0" fontId="0" fillId="84" borderId="2" xfId="0" applyFill="1"/>
    <xf numFmtId="0" fontId="0" fillId="85" borderId="2" xfId="0" applyFill="1"/>
    <xf numFmtId="0" fontId="0" fillId="86" borderId="2" xfId="0" applyFill="1"/>
    <xf numFmtId="0" fontId="0" fillId="87" borderId="2" xfId="0" applyFill="1"/>
    <xf numFmtId="0" fontId="0" fillId="88" borderId="2" xfId="0" applyFill="1"/>
    <xf numFmtId="2" fontId="1" fillId="89" borderId="2" xfId="0" applyNumberFormat="1" applyFont="1"/>
    <xf numFmtId="0" fontId="0" fillId="89" borderId="0" xfId="0" applyBorder="1"/>
    <xf numFmtId="165" fontId="0" fillId="89" borderId="0" xfId="0" applyNumberFormat="1" applyBorder="1" applyAlignment="1">
      <alignment horizontal="center"/>
    </xf>
    <xf numFmtId="1" fontId="1" fillId="89" borderId="2" xfId="0" applyNumberFormat="1" applyFont="1"/>
    <xf numFmtId="2" fontId="1" fillId="89" borderId="2" xfId="0" applyNumberFormat="1" applyFont="1"/>
    <xf numFmtId="166" fontId="0" fillId="89" borderId="2" xfId="0" applyNumberFormat="1" applyAlignment="1">
      <alignment horizontal="center" vertical="top"/>
    </xf>
    <xf numFmtId="166" fontId="0" fillId="89" borderId="1" xfId="0" applyNumberFormat="1" applyBorder="1" applyAlignment="1">
      <alignment horizontal="center" vertical="top"/>
    </xf>
    <xf numFmtId="2" fontId="1" fillId="89" borderId="2" xfId="0" applyNumberFormat="1" applyFont="1"/>
    <xf numFmtId="2" fontId="1" fillId="89" borderId="2" xfId="0" applyNumberFormat="1" applyFont="1"/>
    <xf numFmtId="0" fontId="3" fillId="89" borderId="2" xfId="0" applyFont="1" applyAlignment="1">
      <alignment horizontal="left" vertical="top"/>
    </xf>
    <xf numFmtId="2" fontId="1" fillId="89" borderId="2" xfId="0" applyNumberFormat="1" applyFont="1"/>
    <xf numFmtId="0" fontId="0" fillId="89" borderId="0" xfId="0" applyBorder="1" applyAlignment="1">
      <alignment horizontal="center" vertical="center"/>
    </xf>
    <xf numFmtId="165" fontId="0" fillId="89" borderId="0" xfId="0" applyNumberFormat="1" applyBorder="1" applyAlignment="1">
      <alignment horizontal="center" vertical="center"/>
    </xf>
    <xf numFmtId="0" fontId="0" fillId="89" borderId="2" xfId="0" applyAlignment="1">
      <alignment horizontal="center" vertical="center"/>
    </xf>
    <xf numFmtId="0" fontId="2" fillId="89" borderId="1" xfId="0" applyFont="1" applyBorder="1" applyAlignment="1">
      <alignment horizontal="center" vertical="center"/>
    </xf>
    <xf numFmtId="2" fontId="1" fillId="89" borderId="2" xfId="0" applyNumberFormat="1" applyFont="1" applyAlignment="1">
      <alignment horizontal="center" vertical="center"/>
    </xf>
    <xf numFmtId="2" fontId="1" fillId="89" borderId="2" xfId="0" applyNumberFormat="1" applyFont="1"/>
    <xf numFmtId="166" fontId="0" fillId="89" borderId="3" xfId="0" applyNumberFormat="1" applyBorder="1" applyAlignment="1">
      <alignment horizontal="center" vertical="top"/>
    </xf>
    <xf numFmtId="166" fontId="0" fillId="89" borderId="4" xfId="0" applyNumberFormat="1" applyBorder="1" applyAlignment="1">
      <alignment horizontal="center" vertical="top"/>
    </xf>
    <xf numFmtId="49" fontId="5" fillId="89" borderId="2" xfId="0" applyNumberFormat="1" applyFont="1" applyAlignment="1">
      <alignment horizontal="center" vertical="center"/>
    </xf>
    <xf numFmtId="49" fontId="5" fillId="89" borderId="1" xfId="0" applyNumberFormat="1" applyFont="1" applyBorder="1" applyAlignment="1">
      <alignment horizontal="center" vertical="center"/>
    </xf>
    <xf numFmtId="0" fontId="0" fillId="90" borderId="2" xfId="0" applyFill="1"/>
    <xf numFmtId="0" fontId="0" fillId="91" borderId="2" xfId="0" applyFill="1"/>
    <xf numFmtId="0" fontId="0" fillId="92" borderId="1" xfId="0" applyFill="1" applyBorder="1"/>
    <xf numFmtId="0" fontId="0" fillId="93" borderId="2" xfId="0" applyFill="1"/>
    <xf numFmtId="0" fontId="0" fillId="94" borderId="2" xfId="0" applyFill="1"/>
    <xf numFmtId="0" fontId="0" fillId="95" borderId="2" xfId="0" applyFill="1"/>
    <xf numFmtId="0" fontId="0" fillId="96" borderId="2" xfId="0" applyFill="1"/>
    <xf numFmtId="0" fontId="0" fillId="97" borderId="2" xfId="0" applyFill="1"/>
    <xf numFmtId="0" fontId="0" fillId="98" borderId="2" xfId="0" applyFill="1"/>
    <xf numFmtId="0" fontId="0" fillId="99" borderId="2" xfId="0" applyFill="1"/>
    <xf numFmtId="0" fontId="0" fillId="100" borderId="2" xfId="0" applyFill="1"/>
    <xf numFmtId="0" fontId="0" fillId="101" borderId="2" xfId="0" applyFill="1"/>
    <xf numFmtId="0" fontId="0" fillId="102" borderId="2" xfId="0" applyFill="1"/>
    <xf numFmtId="0" fontId="0" fillId="103" borderId="2" xfId="0" applyFill="1"/>
    <xf numFmtId="0" fontId="0" fillId="104" borderId="2" xfId="0" applyFill="1"/>
    <xf numFmtId="0" fontId="0" fillId="105" borderId="2" xfId="0" applyFill="1"/>
    <xf numFmtId="0" fontId="0" fillId="106" borderId="2" xfId="0" applyFill="1"/>
    <xf numFmtId="0" fontId="0" fillId="107" borderId="2" xfId="0" applyFill="1"/>
    <xf numFmtId="0" fontId="0" fillId="108" borderId="5" xfId="0" applyFill="1" applyBorder="1"/>
    <xf numFmtId="0" fontId="0" fillId="109" borderId="2" xfId="0" applyFill="1"/>
    <xf numFmtId="0" fontId="0" fillId="110" borderId="2" xfId="0" applyFill="1"/>
    <xf numFmtId="0" fontId="0" fillId="111" borderId="2" xfId="0" applyFill="1"/>
    <xf numFmtId="0" fontId="0" fillId="112" borderId="2" xfId="0" applyFill="1"/>
    <xf numFmtId="0" fontId="0" fillId="113" borderId="2" xfId="0" applyFill="1"/>
    <xf numFmtId="0" fontId="0" fillId="114" borderId="2" xfId="0" applyFill="1"/>
    <xf numFmtId="0" fontId="0" fillId="115" borderId="2" xfId="0" applyFill="1"/>
    <xf numFmtId="0" fontId="0" fillId="116" borderId="2" xfId="0" applyFill="1"/>
    <xf numFmtId="0" fontId="0" fillId="117" borderId="2" xfId="0" applyFill="1"/>
    <xf numFmtId="0" fontId="0" fillId="118" borderId="2" xfId="0" applyFill="1"/>
    <xf numFmtId="0" fontId="0" fillId="119" borderId="2" xfId="0" applyFill="1"/>
    <xf numFmtId="0" fontId="0" fillId="120" borderId="2" xfId="0" applyFill="1"/>
    <xf numFmtId="0" fontId="0" fillId="121" borderId="2" xfId="0" applyFill="1"/>
    <xf numFmtId="0" fontId="0" fillId="122" borderId="2" xfId="0" applyFill="1"/>
    <xf numFmtId="0" fontId="0" fillId="123" borderId="2" xfId="0" applyFill="1"/>
    <xf numFmtId="0" fontId="0" fillId="124" borderId="2" xfId="0" applyFill="1"/>
    <xf numFmtId="0" fontId="0" fillId="125" borderId="2" xfId="0" applyFill="1"/>
    <xf numFmtId="0" fontId="0" fillId="126" borderId="2" xfId="0" applyFill="1"/>
    <xf numFmtId="0" fontId="0" fillId="127" borderId="2" xfId="0" applyFill="1"/>
    <xf numFmtId="0" fontId="0" fillId="128" borderId="2" xfId="0" applyFill="1"/>
    <xf numFmtId="0" fontId="0" fillId="129" borderId="2" xfId="0" applyFill="1"/>
    <xf numFmtId="0" fontId="0" fillId="130" borderId="2" xfId="0" applyFill="1"/>
    <xf numFmtId="0" fontId="0" fillId="131" borderId="2" xfId="0" applyFill="1"/>
    <xf numFmtId="0" fontId="0" fillId="132" borderId="2" xfId="0" applyFill="1"/>
    <xf numFmtId="0" fontId="0" fillId="133" borderId="2" xfId="0" applyFill="1"/>
    <xf numFmtId="0" fontId="0" fillId="134" borderId="2" xfId="0" applyFill="1"/>
    <xf numFmtId="0" fontId="0" fillId="135" borderId="2" xfId="0" applyFill="1"/>
    <xf numFmtId="0" fontId="0" fillId="136" borderId="2" xfId="0" applyFill="1"/>
    <xf numFmtId="0" fontId="0" fillId="137" borderId="2" xfId="0" applyFill="1"/>
    <xf numFmtId="0" fontId="0" fillId="138" borderId="2" xfId="0" applyFill="1"/>
    <xf numFmtId="0" fontId="0" fillId="139" borderId="2" xfId="0" applyFill="1"/>
    <xf numFmtId="0" fontId="0" fillId="140" borderId="2" xfId="0" applyFill="1"/>
    <xf numFmtId="0" fontId="0" fillId="141" borderId="2" xfId="0" applyFill="1"/>
    <xf numFmtId="0" fontId="0" fillId="142" borderId="2" xfId="0" applyFill="1"/>
    <xf numFmtId="0" fontId="0" fillId="143" borderId="2" xfId="0" applyFill="1"/>
    <xf numFmtId="0" fontId="0" fillId="144" borderId="2" xfId="0" applyFill="1"/>
    <xf numFmtId="0" fontId="0" fillId="145" borderId="2" xfId="0" applyFill="1"/>
    <xf numFmtId="0" fontId="0" fillId="146" borderId="2" xfId="0" applyFill="1"/>
    <xf numFmtId="0" fontId="0" fillId="147" borderId="2" xfId="0" applyFill="1"/>
    <xf numFmtId="0" fontId="0" fillId="148" borderId="2" xfId="0" applyFill="1"/>
    <xf numFmtId="0" fontId="0" fillId="149" borderId="2" xfId="0" applyFill="1"/>
    <xf numFmtId="0" fontId="0" fillId="150" borderId="2" xfId="0" applyFill="1"/>
    <xf numFmtId="164" fontId="0" fillId="89" borderId="2" xfId="0" applyNumberFormat="1"/>
    <xf numFmtId="2" fontId="1" fillId="89" borderId="2" xfId="0" applyNumberFormat="1" applyFont="1"/>
    <xf numFmtId="0" fontId="0" fillId="89" borderId="6" xfId="0" applyBorder="1" applyAlignment="1">
      <alignment horizontal="center"/>
    </xf>
    <xf numFmtId="0" fontId="0" fillId="89" borderId="5" xfId="0" applyBorder="1" applyAlignment="1">
      <alignment horizontal="center"/>
    </xf>
    <xf numFmtId="0" fontId="0" fillId="108" borderId="2" xfId="0" applyFill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FEF8-7692-4BCD-B49A-95662F06BE39}">
  <dimension ref="A1:AX138"/>
  <sheetViews>
    <sheetView tabSelected="1" topLeftCell="A4" zoomScale="190" zoomScaleNormal="190" workbookViewId="0">
      <pane xSplit="39036" topLeftCell="X1"/>
      <selection activeCell="M33" sqref="M33"/>
      <selection pane="topRight" activeCell="AB5" sqref="AB5:AD33"/>
    </sheetView>
  </sheetViews>
  <sheetFormatPr defaultRowHeight="14.4" x14ac:dyDescent="0.3"/>
  <cols>
    <col min="1" max="1" width="8.88671875" style="117"/>
    <col min="2" max="2" width="10.33203125" customWidth="1"/>
    <col min="3" max="3" width="12.88671875" style="14" customWidth="1"/>
    <col min="4" max="4" width="9.5546875" customWidth="1"/>
    <col min="5" max="5" width="9.33203125" customWidth="1"/>
    <col min="6" max="6" width="4" style="13" customWidth="1"/>
    <col min="7" max="7" width="4" customWidth="1"/>
    <col min="8" max="8" width="4" style="13" customWidth="1"/>
    <col min="9" max="9" width="4" customWidth="1"/>
    <col min="10" max="10" width="4" style="13" customWidth="1"/>
    <col min="11" max="12" width="4" customWidth="1"/>
    <col min="14" max="14" width="6.5546875" customWidth="1"/>
    <col min="15" max="15" width="9.5546875" customWidth="1"/>
    <col min="16" max="16" width="9.33203125" customWidth="1"/>
    <col min="17" max="23" width="4" customWidth="1"/>
    <col min="24" max="24" width="9" customWidth="1"/>
    <col min="25" max="25" width="7.21875" customWidth="1"/>
    <col min="26" max="26" width="9.5546875" customWidth="1"/>
    <col min="27" max="27" width="9.33203125" customWidth="1"/>
    <col min="28" max="30" width="4" customWidth="1"/>
    <col min="31" max="31" width="1.44140625" customWidth="1"/>
    <col min="32" max="35" width="4" customWidth="1"/>
    <col min="36" max="39" width="7.5546875" customWidth="1"/>
    <col min="40" max="40" width="7.44140625" customWidth="1"/>
    <col min="42" max="42" width="6.5546875" customWidth="1"/>
    <col min="43" max="43" width="9.5546875" customWidth="1"/>
    <col min="44" max="44" width="9.33203125" customWidth="1"/>
    <col min="45" max="47" width="4" customWidth="1"/>
    <col min="48" max="48" width="1.44140625" customWidth="1"/>
    <col min="49" max="52" width="4" customWidth="1"/>
    <col min="53" max="56" width="7.5546875" customWidth="1"/>
  </cols>
  <sheetData>
    <row r="1" spans="2:50" ht="37.799999999999997" customHeight="1" x14ac:dyDescent="0.3">
      <c r="W1" s="113" t="s">
        <v>115</v>
      </c>
    </row>
    <row r="2" spans="2:50" x14ac:dyDescent="0.3">
      <c r="F2" s="32" t="s">
        <v>109</v>
      </c>
      <c r="AF2" s="112"/>
      <c r="AH2" s="112"/>
    </row>
    <row r="3" spans="2:50" x14ac:dyDescent="0.3">
      <c r="F3" s="13" t="s">
        <v>0</v>
      </c>
      <c r="G3" s="13" t="s">
        <v>1</v>
      </c>
      <c r="H3" s="13" t="s">
        <v>2</v>
      </c>
      <c r="J3" s="13" t="s">
        <v>0</v>
      </c>
      <c r="K3" s="13" t="s">
        <v>1</v>
      </c>
      <c r="L3" s="13" t="s">
        <v>2</v>
      </c>
      <c r="Z3" t="s">
        <v>111</v>
      </c>
      <c r="AF3" s="112">
        <v>1</v>
      </c>
      <c r="AH3" s="112">
        <v>1</v>
      </c>
      <c r="AR3" s="104"/>
      <c r="AS3" s="104"/>
      <c r="AT3" s="104"/>
      <c r="AU3" s="104"/>
      <c r="AX3" s="104"/>
    </row>
    <row r="4" spans="2:50" x14ac:dyDescent="0.3">
      <c r="C4"/>
      <c r="F4" t="s">
        <v>107</v>
      </c>
      <c r="G4" t="s">
        <v>108</v>
      </c>
      <c r="H4">
        <v>0</v>
      </c>
      <c r="J4">
        <f>HEX2DEC(F4)</f>
        <v>255</v>
      </c>
      <c r="K4">
        <f>HEX2DEC(G4)</f>
        <v>127</v>
      </c>
      <c r="L4">
        <f>HEX2DEC(H4)</f>
        <v>0</v>
      </c>
      <c r="X4" s="13" t="s">
        <v>117</v>
      </c>
      <c r="AB4" s="13" t="s">
        <v>0</v>
      </c>
      <c r="AC4" s="13" t="s">
        <v>1</v>
      </c>
      <c r="AD4" s="13" t="s">
        <v>2</v>
      </c>
      <c r="AF4" s="13" t="s">
        <v>0</v>
      </c>
      <c r="AG4" s="13" t="s">
        <v>1</v>
      </c>
      <c r="AH4" s="13" t="s">
        <v>2</v>
      </c>
      <c r="AJ4" t="s">
        <v>3</v>
      </c>
      <c r="AK4" t="s">
        <v>6</v>
      </c>
      <c r="AL4" t="s">
        <v>4</v>
      </c>
      <c r="AM4" t="s">
        <v>5</v>
      </c>
      <c r="AR4" s="108"/>
      <c r="AS4" s="108"/>
      <c r="AT4" s="108"/>
      <c r="AU4" s="108"/>
      <c r="AV4" s="108"/>
      <c r="AX4" s="108"/>
    </row>
    <row r="5" spans="2:50" x14ac:dyDescent="0.3">
      <c r="C5"/>
      <c r="F5"/>
      <c r="H5"/>
      <c r="J5"/>
      <c r="U5" s="107">
        <v>1</v>
      </c>
      <c r="W5" s="123" t="s">
        <v>112</v>
      </c>
      <c r="X5" s="109" t="str">
        <f>X$4&amp;"."&amp;W5</f>
        <v>color.970</v>
      </c>
      <c r="Y5" s="109">
        <v>970</v>
      </c>
      <c r="Z5" s="185" t="str">
        <f>SetIt(Z5, AB5, AC5, AD5, "#" &amp; _xlfn.CONCAT(AB5,AC5,AD5))</f>
        <v/>
      </c>
      <c r="AA5" s="105" t="s">
        <v>185</v>
      </c>
      <c r="AB5" s="106" t="str">
        <f>IF(AF5&lt;16,"0","")&amp;DEC2HEX(AF5)</f>
        <v>C8</v>
      </c>
      <c r="AC5" s="106" t="str">
        <f>IF(AG5&lt;16,"0","")&amp;DEC2HEX(AG5)</f>
        <v>E8</v>
      </c>
      <c r="AD5" s="106" t="str">
        <f>IF(AH5&lt;16,"0","")&amp;DEC2HEX(AH5)</f>
        <v>FF</v>
      </c>
      <c r="AF5" s="35">
        <f t="shared" ref="AF5:AF16" si="0">ROUND(AF6*(AM5*AF$3)+AL5,0)</f>
        <v>200</v>
      </c>
      <c r="AG5" s="35">
        <f t="shared" ref="AG5:AG16" si="1">ROUND(AG6*AM5+AL5,0)</f>
        <v>232</v>
      </c>
      <c r="AH5" s="35">
        <f t="shared" ref="AH5:AH16" si="2">MIN(ROUND(AH6*(AM5*AH$3)+AL5,0), 255)</f>
        <v>255</v>
      </c>
      <c r="AJ5" s="104">
        <f t="shared" ref="AJ5:AJ16" si="3">(Y5-500)/100 * (AJ$18*AK$18)+AJ$18</f>
        <v>0.12806999999999999</v>
      </c>
      <c r="AK5" s="104" t="b">
        <f>(AJ5&lt;0)</f>
        <v>0</v>
      </c>
      <c r="AL5" s="104">
        <f>IF(AK5,0,255*AJ5)</f>
        <v>32.657849999999996</v>
      </c>
      <c r="AM5" s="104">
        <f>IF(AK5,1+AJ5,1-AJ5)</f>
        <v>0.87192999999999998</v>
      </c>
      <c r="AN5">
        <f t="shared" ref="AN5:AN16" si="4">(Y5-500)/100 * (AJ$18*AK$18)+AJ$18</f>
        <v>0.12806999999999999</v>
      </c>
      <c r="AR5" s="108"/>
      <c r="AS5" s="108"/>
      <c r="AT5" s="108"/>
      <c r="AU5" s="108"/>
      <c r="AV5" s="108"/>
      <c r="AX5" s="108"/>
    </row>
    <row r="6" spans="2:50" x14ac:dyDescent="0.3">
      <c r="U6" s="107">
        <v>2</v>
      </c>
      <c r="W6" s="123">
        <v>950</v>
      </c>
      <c r="X6" s="109" t="str">
        <f t="shared" ref="X6:X33" si="5">X$4&amp;"."&amp;W6</f>
        <v>color.950</v>
      </c>
      <c r="Y6" s="109">
        <v>950</v>
      </c>
      <c r="Z6" s="184" t="str">
        <f>SetIt(Z6, AB6, AC6, AD6, "#" &amp; _xlfn.CONCAT(AB6,AC6,AD6))</f>
        <v/>
      </c>
      <c r="AA6" s="105" t="s">
        <v>184</v>
      </c>
      <c r="AB6" s="106" t="str">
        <f t="shared" ref="AB6:AB11" si="6">IF(AF6&lt;16,"0","")&amp;DEC2HEX(AF6)</f>
        <v>C0</v>
      </c>
      <c r="AC6" s="106" t="str">
        <f t="shared" ref="AC6:AC11" si="7">IF(AG6&lt;16,"0","")&amp;DEC2HEX(AG6)</f>
        <v>E5</v>
      </c>
      <c r="AD6" s="106" t="str">
        <f t="shared" ref="AD6:AD11" si="8">IF(AH6&lt;16,"0","")&amp;DEC2HEX(AH6)</f>
        <v>FF</v>
      </c>
      <c r="AF6" s="35">
        <f t="shared" si="0"/>
        <v>192</v>
      </c>
      <c r="AG6" s="35">
        <f t="shared" si="1"/>
        <v>229</v>
      </c>
      <c r="AH6" s="35">
        <f t="shared" si="2"/>
        <v>255</v>
      </c>
      <c r="AJ6" s="104">
        <f t="shared" si="3"/>
        <v>0.12645000000000001</v>
      </c>
      <c r="AK6" s="104" t="b">
        <f t="shared" ref="AK6:AK11" si="9">(AJ6&lt;0)</f>
        <v>0</v>
      </c>
      <c r="AL6" s="104">
        <f t="shared" ref="AL6:AL11" si="10">IF(AK6,0,255*AJ6)</f>
        <v>32.244750000000003</v>
      </c>
      <c r="AM6" s="104">
        <f t="shared" ref="AM6:AM11" si="11">IF(AK6,1+AJ6,1-AJ6)</f>
        <v>0.87355000000000005</v>
      </c>
      <c r="AN6">
        <f t="shared" si="4"/>
        <v>0.12645000000000001</v>
      </c>
      <c r="AR6" s="108"/>
      <c r="AS6" s="108"/>
      <c r="AT6" s="108"/>
      <c r="AU6" s="108"/>
      <c r="AV6" s="108"/>
      <c r="AX6" s="108"/>
    </row>
    <row r="7" spans="2:50" x14ac:dyDescent="0.3">
      <c r="D7" t="s">
        <v>110</v>
      </c>
      <c r="U7" s="107">
        <v>3</v>
      </c>
      <c r="W7" s="123">
        <v>900</v>
      </c>
      <c r="X7" s="109" t="str">
        <f t="shared" si="5"/>
        <v>color.900</v>
      </c>
      <c r="Y7" s="109">
        <v>900</v>
      </c>
      <c r="Z7" s="183" t="str">
        <f t="shared" ref="Z7:Z11" si="12">SetIt(Z7, AB7, AC7, AD7, "#" &amp; _xlfn.CONCAT(AB7,AC7,AD7))</f>
        <v/>
      </c>
      <c r="AA7" s="105" t="s">
        <v>183</v>
      </c>
      <c r="AB7" s="106" t="str">
        <f t="shared" si="6"/>
        <v>B7</v>
      </c>
      <c r="AC7" s="106" t="str">
        <f t="shared" si="7"/>
        <v>E1</v>
      </c>
      <c r="AD7" s="106" t="str">
        <f t="shared" si="8"/>
        <v>FF</v>
      </c>
      <c r="AF7" s="35">
        <f t="shared" si="0"/>
        <v>183</v>
      </c>
      <c r="AG7" s="35">
        <f t="shared" si="1"/>
        <v>225</v>
      </c>
      <c r="AH7" s="35">
        <f t="shared" si="2"/>
        <v>255</v>
      </c>
      <c r="AJ7" s="104">
        <f t="shared" si="3"/>
        <v>0.12239999999999999</v>
      </c>
      <c r="AK7" s="104" t="b">
        <f t="shared" si="9"/>
        <v>0</v>
      </c>
      <c r="AL7" s="104">
        <f t="shared" si="10"/>
        <v>31.212</v>
      </c>
      <c r="AM7" s="104">
        <f t="shared" si="11"/>
        <v>0.87760000000000005</v>
      </c>
      <c r="AN7">
        <f t="shared" si="4"/>
        <v>0.12239999999999999</v>
      </c>
      <c r="AR7" s="108"/>
      <c r="AS7" s="108"/>
      <c r="AT7" s="108"/>
      <c r="AU7" s="108"/>
      <c r="AV7" s="108"/>
      <c r="AX7" s="108"/>
    </row>
    <row r="8" spans="2:50" x14ac:dyDescent="0.3">
      <c r="C8"/>
      <c r="F8"/>
      <c r="H8"/>
      <c r="J8"/>
      <c r="U8" s="107">
        <v>4</v>
      </c>
      <c r="W8" s="123">
        <v>850</v>
      </c>
      <c r="X8" s="109" t="str">
        <f t="shared" si="5"/>
        <v>color.850</v>
      </c>
      <c r="Y8" s="109">
        <v>850</v>
      </c>
      <c r="Z8" s="182" t="str">
        <f t="shared" si="12"/>
        <v/>
      </c>
      <c r="AA8" s="105" t="s">
        <v>182</v>
      </c>
      <c r="AB8" s="106" t="str">
        <f t="shared" si="6"/>
        <v>AD</v>
      </c>
      <c r="AC8" s="106" t="str">
        <f t="shared" si="7"/>
        <v>DD</v>
      </c>
      <c r="AD8" s="106" t="str">
        <f t="shared" si="8"/>
        <v>FF</v>
      </c>
      <c r="AF8" s="35">
        <f t="shared" si="0"/>
        <v>173</v>
      </c>
      <c r="AG8" s="35">
        <f t="shared" si="1"/>
        <v>221</v>
      </c>
      <c r="AH8" s="35">
        <f t="shared" si="2"/>
        <v>255</v>
      </c>
      <c r="AJ8" s="104">
        <f t="shared" si="3"/>
        <v>0.11835</v>
      </c>
      <c r="AK8" s="104" t="b">
        <f t="shared" si="9"/>
        <v>0</v>
      </c>
      <c r="AL8" s="104">
        <f t="shared" si="10"/>
        <v>30.17925</v>
      </c>
      <c r="AM8" s="104">
        <f t="shared" si="11"/>
        <v>0.88165000000000004</v>
      </c>
      <c r="AN8">
        <f t="shared" si="4"/>
        <v>0.11835</v>
      </c>
      <c r="AR8" s="108"/>
      <c r="AS8" s="108"/>
      <c r="AT8" s="108"/>
      <c r="AU8" s="108"/>
      <c r="AV8" s="108"/>
      <c r="AX8" s="108"/>
    </row>
    <row r="9" spans="2:50" x14ac:dyDescent="0.3">
      <c r="C9" s="49"/>
      <c r="D9" s="34"/>
      <c r="E9" s="50"/>
      <c r="F9" s="50"/>
      <c r="G9" s="50"/>
      <c r="H9" s="50"/>
      <c r="I9" s="50"/>
      <c r="J9" s="50">
        <v>1</v>
      </c>
      <c r="L9" s="50">
        <v>1</v>
      </c>
      <c r="U9" s="107">
        <v>5</v>
      </c>
      <c r="W9" s="123">
        <v>820</v>
      </c>
      <c r="X9" s="109" t="str">
        <f t="shared" si="5"/>
        <v>color.820</v>
      </c>
      <c r="Y9" s="109">
        <v>820</v>
      </c>
      <c r="Z9" s="181" t="str">
        <f t="shared" si="12"/>
        <v/>
      </c>
      <c r="AA9" s="105" t="s">
        <v>181</v>
      </c>
      <c r="AB9" s="106" t="str">
        <f t="shared" si="6"/>
        <v>A2</v>
      </c>
      <c r="AC9" s="106" t="str">
        <f t="shared" si="7"/>
        <v>D8</v>
      </c>
      <c r="AD9" s="106" t="str">
        <f t="shared" si="8"/>
        <v>FF</v>
      </c>
      <c r="AF9" s="35">
        <f t="shared" si="0"/>
        <v>162</v>
      </c>
      <c r="AG9" s="35">
        <f t="shared" si="1"/>
        <v>216</v>
      </c>
      <c r="AH9" s="35">
        <f t="shared" si="2"/>
        <v>255</v>
      </c>
      <c r="AJ9" s="104">
        <f t="shared" si="3"/>
        <v>0.11592</v>
      </c>
      <c r="AK9" s="104" t="b">
        <f t="shared" si="9"/>
        <v>0</v>
      </c>
      <c r="AL9" s="104">
        <f t="shared" si="10"/>
        <v>29.5596</v>
      </c>
      <c r="AM9" s="104">
        <f t="shared" si="11"/>
        <v>0.88407999999999998</v>
      </c>
      <c r="AN9">
        <f t="shared" si="4"/>
        <v>0.11592</v>
      </c>
      <c r="AR9" s="108"/>
      <c r="AS9" s="108"/>
      <c r="AT9" s="108"/>
      <c r="AU9" s="108"/>
      <c r="AV9" s="108"/>
      <c r="AX9" s="108"/>
    </row>
    <row r="10" spans="2:50" x14ac:dyDescent="0.3">
      <c r="C10" s="109" t="s">
        <v>117</v>
      </c>
      <c r="D10" s="34"/>
      <c r="E10" s="50"/>
      <c r="F10" s="13" t="s">
        <v>0</v>
      </c>
      <c r="G10" s="13" t="s">
        <v>1</v>
      </c>
      <c r="H10" s="13" t="s">
        <v>2</v>
      </c>
      <c r="J10" s="13" t="s">
        <v>0</v>
      </c>
      <c r="K10" s="13" t="s">
        <v>1</v>
      </c>
      <c r="L10" s="13" t="s">
        <v>2</v>
      </c>
      <c r="M10" t="s">
        <v>3</v>
      </c>
      <c r="N10" t="s">
        <v>6</v>
      </c>
      <c r="O10" t="s">
        <v>4</v>
      </c>
      <c r="P10" t="s">
        <v>5</v>
      </c>
      <c r="U10" s="107">
        <v>6</v>
      </c>
      <c r="W10" s="123">
        <v>800</v>
      </c>
      <c r="X10" s="109" t="str">
        <f t="shared" si="5"/>
        <v>color.800</v>
      </c>
      <c r="Y10" s="109">
        <v>800</v>
      </c>
      <c r="Z10" s="179" t="str">
        <f t="shared" si="12"/>
        <v/>
      </c>
      <c r="AA10" s="105" t="s">
        <v>179</v>
      </c>
      <c r="AB10" s="106" t="str">
        <f t="shared" si="6"/>
        <v>96</v>
      </c>
      <c r="AC10" s="106" t="str">
        <f t="shared" si="7"/>
        <v>D3</v>
      </c>
      <c r="AD10" s="106" t="str">
        <f t="shared" si="8"/>
        <v>FF</v>
      </c>
      <c r="AF10" s="35">
        <f t="shared" si="0"/>
        <v>150</v>
      </c>
      <c r="AG10" s="35">
        <f t="shared" si="1"/>
        <v>211</v>
      </c>
      <c r="AH10" s="35">
        <f t="shared" si="2"/>
        <v>255</v>
      </c>
      <c r="AJ10" s="104">
        <f t="shared" si="3"/>
        <v>0.1143</v>
      </c>
      <c r="AK10" s="104" t="b">
        <f t="shared" si="9"/>
        <v>0</v>
      </c>
      <c r="AL10" s="104">
        <f t="shared" si="10"/>
        <v>29.1465</v>
      </c>
      <c r="AM10" s="104">
        <f t="shared" si="11"/>
        <v>0.88570000000000004</v>
      </c>
      <c r="AN10">
        <f t="shared" si="4"/>
        <v>0.1143</v>
      </c>
      <c r="AR10" s="108"/>
      <c r="AS10" s="108"/>
      <c r="AT10" s="108"/>
      <c r="AU10" s="108"/>
      <c r="AV10" s="108"/>
      <c r="AX10" s="108"/>
    </row>
    <row r="11" spans="2:50" x14ac:dyDescent="0.3">
      <c r="B11" s="123">
        <v>950</v>
      </c>
      <c r="C11" s="109" t="str">
        <f>C$10&amp;"."&amp;B11</f>
        <v>color.950</v>
      </c>
      <c r="D11" s="142" t="str">
        <f t="shared" ref="D11:D24" si="13">SetIt(D11, F11, G11, H11, "#" &amp; _xlfn.CONCAT(F11,G11,H11))</f>
        <v/>
      </c>
      <c r="E11" s="105" t="s">
        <v>142</v>
      </c>
      <c r="F11" s="106" t="str">
        <f t="shared" ref="F11:F24" si="14">IF(J11&lt;16,"0","")&amp;DEC2HEX(J11)</f>
        <v>D2</v>
      </c>
      <c r="G11" s="106" t="str">
        <f t="shared" ref="G11:G24" si="15">IF(K11&lt;16,"0","")&amp;DEC2HEX(K11)</f>
        <v>F2</v>
      </c>
      <c r="H11" s="106" t="str">
        <f t="shared" ref="H11:H24" si="16">IF(L11&lt;16,"0","")&amp;DEC2HEX(L11)</f>
        <v>EF</v>
      </c>
      <c r="J11" s="35">
        <f t="shared" ref="J11:J16" si="17">ROUND(J12*(P11*J$9)+O11,0)</f>
        <v>210</v>
      </c>
      <c r="K11" s="35">
        <f t="shared" ref="K11:K16" si="18">ROUND(K12*P11+O11,0)</f>
        <v>242</v>
      </c>
      <c r="L11" s="35">
        <f t="shared" ref="L11:L16" si="19">MIN(ROUND(L12*(P11*L$9)+O11,0), 255)</f>
        <v>239</v>
      </c>
      <c r="M11" s="50">
        <f t="shared" ref="M11:M16" si="20">M12+(M$18*N$18)</f>
        <v>0.41399999999999998</v>
      </c>
      <c r="N11" s="50" t="b">
        <f t="shared" ref="N11:N17" si="21">(M11&lt;0)</f>
        <v>0</v>
      </c>
      <c r="O11" s="50">
        <f t="shared" ref="O11:O17" si="22">IF(N11,0,255*M11)</f>
        <v>105.57</v>
      </c>
      <c r="P11" s="50">
        <f t="shared" ref="P11:P17" si="23">IF(N11,1+M11,1-M11)</f>
        <v>0.58600000000000008</v>
      </c>
      <c r="U11" s="107">
        <v>7</v>
      </c>
      <c r="W11" s="123">
        <v>760</v>
      </c>
      <c r="X11" s="109" t="str">
        <f t="shared" si="5"/>
        <v>color.760</v>
      </c>
      <c r="Y11" s="109">
        <v>760</v>
      </c>
      <c r="Z11" s="175" t="str">
        <f t="shared" si="12"/>
        <v/>
      </c>
      <c r="AA11" s="105" t="s">
        <v>175</v>
      </c>
      <c r="AB11" s="106" t="str">
        <f t="shared" si="6"/>
        <v>88</v>
      </c>
      <c r="AC11" s="106" t="str">
        <f t="shared" si="7"/>
        <v>CD</v>
      </c>
      <c r="AD11" s="106" t="str">
        <f t="shared" si="8"/>
        <v>FF</v>
      </c>
      <c r="AF11" s="35">
        <f t="shared" si="0"/>
        <v>136</v>
      </c>
      <c r="AG11" s="35">
        <f t="shared" si="1"/>
        <v>205</v>
      </c>
      <c r="AH11" s="35">
        <f t="shared" si="2"/>
        <v>255</v>
      </c>
      <c r="AJ11" s="104">
        <f t="shared" si="3"/>
        <v>0.11105999999999999</v>
      </c>
      <c r="AK11" s="104" t="b">
        <f t="shared" si="9"/>
        <v>0</v>
      </c>
      <c r="AL11" s="104">
        <f t="shared" si="10"/>
        <v>28.3203</v>
      </c>
      <c r="AM11" s="104">
        <f t="shared" si="11"/>
        <v>0.88894000000000006</v>
      </c>
      <c r="AN11">
        <f t="shared" si="4"/>
        <v>0.11105999999999999</v>
      </c>
      <c r="AR11" s="108"/>
      <c r="AS11" s="108"/>
      <c r="AT11" s="108"/>
      <c r="AU11" s="108"/>
      <c r="AV11" s="108"/>
      <c r="AX11" s="108"/>
    </row>
    <row r="12" spans="2:50" x14ac:dyDescent="0.3">
      <c r="B12" s="123">
        <v>900</v>
      </c>
      <c r="C12" s="109" t="str">
        <f t="shared" ref="C12:C24" si="24">C$10&amp;"."&amp;B12</f>
        <v>color.900</v>
      </c>
      <c r="D12" s="141" t="str">
        <f t="shared" si="13"/>
        <v/>
      </c>
      <c r="E12" s="105" t="s">
        <v>141</v>
      </c>
      <c r="F12" s="106" t="str">
        <f t="shared" si="14"/>
        <v>B2</v>
      </c>
      <c r="G12" s="106" t="str">
        <f t="shared" si="15"/>
        <v>E9</v>
      </c>
      <c r="H12" s="106" t="str">
        <f t="shared" si="16"/>
        <v>E3</v>
      </c>
      <c r="J12" s="35">
        <f>ROUND(J14*(P12*J$9)+O12,0)</f>
        <v>178</v>
      </c>
      <c r="K12" s="35">
        <f>ROUND(K14*P12+O12,0)</f>
        <v>233</v>
      </c>
      <c r="L12" s="35">
        <f>MIN(ROUND(L14*(P12*L$9)+O12,0), 255)</f>
        <v>227</v>
      </c>
      <c r="M12" s="50">
        <f t="shared" si="20"/>
        <v>0.36</v>
      </c>
      <c r="N12" s="50" t="b">
        <f t="shared" si="21"/>
        <v>0</v>
      </c>
      <c r="O12" s="50">
        <f t="shared" si="22"/>
        <v>91.8</v>
      </c>
      <c r="P12" s="50">
        <f t="shared" si="23"/>
        <v>0.64</v>
      </c>
      <c r="U12" s="107">
        <v>8</v>
      </c>
      <c r="W12" s="123">
        <v>730</v>
      </c>
      <c r="X12" s="109" t="str">
        <f t="shared" si="5"/>
        <v>color.730</v>
      </c>
      <c r="Y12" s="109">
        <v>730</v>
      </c>
      <c r="Z12" s="174" t="str">
        <f t="shared" ref="Z12:Z20" si="25">SetIt(Z12, AB12, AC12, AD12, "#" &amp; _xlfn.CONCAT(AB12,AC12,AD12))</f>
        <v/>
      </c>
      <c r="AA12" s="105" t="s">
        <v>174</v>
      </c>
      <c r="AB12" s="106" t="str">
        <f t="shared" ref="AB12:AB20" si="26">IF(AF12&lt;16,"0","")&amp;DEC2HEX(AF12)</f>
        <v>79</v>
      </c>
      <c r="AC12" s="106" t="str">
        <f t="shared" ref="AC12:AC20" si="27">IF(AG12&lt;16,"0","")&amp;DEC2HEX(AG12)</f>
        <v>C7</v>
      </c>
      <c r="AD12" s="106" t="str">
        <f t="shared" ref="AD12:AD20" si="28">IF(AH12&lt;16,"0","")&amp;DEC2HEX(AH12)</f>
        <v>FF</v>
      </c>
      <c r="AF12" s="35">
        <f>ROUND(AF13*(AM12*AF$3)+AL12,0)</f>
        <v>121</v>
      </c>
      <c r="AG12" s="35">
        <f>ROUND(AG13*AM12+AL12,0)</f>
        <v>199</v>
      </c>
      <c r="AH12" s="35">
        <f>MIN(ROUND(AH13*(AM12*AH$3)+AL12,0), 255)</f>
        <v>255</v>
      </c>
      <c r="AJ12" s="104">
        <f t="shared" si="3"/>
        <v>0.10862999999999999</v>
      </c>
      <c r="AK12" s="104" t="b">
        <f t="shared" ref="AK12:AK17" si="29">(AJ12&lt;0)</f>
        <v>0</v>
      </c>
      <c r="AL12" s="104">
        <f t="shared" ref="AL12:AL17" si="30">IF(AK12,0,255*AJ12)</f>
        <v>27.700649999999996</v>
      </c>
      <c r="AM12" s="104">
        <f t="shared" ref="AM12:AM17" si="31">IF(AK12,1+AJ12,1-AJ12)</f>
        <v>0.89137</v>
      </c>
      <c r="AN12">
        <f t="shared" si="4"/>
        <v>0.10862999999999999</v>
      </c>
      <c r="AR12" s="108"/>
      <c r="AS12" s="108"/>
      <c r="AT12" s="108"/>
      <c r="AU12" s="108"/>
      <c r="AV12" s="108"/>
      <c r="AX12" s="108"/>
    </row>
    <row r="13" spans="2:50" x14ac:dyDescent="0.3">
      <c r="B13" s="123">
        <v>850</v>
      </c>
      <c r="C13" s="109" t="str">
        <f t="shared" si="24"/>
        <v>color.850</v>
      </c>
      <c r="D13" s="144" t="str">
        <f t="shared" ref="D13" si="32">SetIt(D13, F13, G13, H13, "#" &amp; _xlfn.CONCAT(F13,G13,H13))</f>
        <v/>
      </c>
      <c r="E13" s="105" t="s">
        <v>144</v>
      </c>
      <c r="F13" s="106" t="str">
        <f t="shared" ref="F13" si="33">IF(J13&lt;16,"0","")&amp;DEC2HEX(J13)</f>
        <v>AC</v>
      </c>
      <c r="G13" s="106" t="str">
        <f t="shared" ref="G13" si="34">IF(K13&lt;16,"0","")&amp;DEC2HEX(K13)</f>
        <v>E7</v>
      </c>
      <c r="H13" s="106" t="str">
        <f t="shared" ref="H13" si="35">IF(L13&lt;16,"0","")&amp;DEC2HEX(L13)</f>
        <v>E0</v>
      </c>
      <c r="J13" s="35">
        <f t="shared" ref="J13" si="36">ROUND(J14*(P13*J$9)+O13,0)</f>
        <v>172</v>
      </c>
      <c r="K13" s="35">
        <f t="shared" ref="K13" si="37">ROUND(K14*P13+O13,0)</f>
        <v>231</v>
      </c>
      <c r="L13" s="35">
        <f t="shared" ref="L13" si="38">MIN(ROUND(L14*(P13*L$9)+O13,0), 255)</f>
        <v>224</v>
      </c>
      <c r="M13" s="111">
        <f t="shared" si="20"/>
        <v>0.30599999999999999</v>
      </c>
      <c r="N13" s="111" t="b">
        <f t="shared" ref="N13" si="39">(M13&lt;0)</f>
        <v>0</v>
      </c>
      <c r="O13" s="111">
        <f t="shared" ref="O13" si="40">IF(N13,0,255*M13)</f>
        <v>78.03</v>
      </c>
      <c r="P13" s="111">
        <f t="shared" ref="P13" si="41">IF(N13,1+M13,1-M13)</f>
        <v>0.69399999999999995</v>
      </c>
      <c r="U13" s="107">
        <v>9</v>
      </c>
      <c r="W13" s="123">
        <v>700</v>
      </c>
      <c r="X13" s="109" t="str">
        <f t="shared" si="5"/>
        <v>color.700</v>
      </c>
      <c r="Y13" s="109">
        <v>700</v>
      </c>
      <c r="Z13" s="168" t="str">
        <f t="shared" si="25"/>
        <v/>
      </c>
      <c r="AA13" s="105" t="s">
        <v>168</v>
      </c>
      <c r="AB13" s="106" t="str">
        <f>IF(AF13&lt;16,"0","")&amp;DEC2HEX(AF13)</f>
        <v>69</v>
      </c>
      <c r="AC13" s="106" t="str">
        <f>IF(AG13&lt;16,"0","")&amp;DEC2HEX(AG13)</f>
        <v>C0</v>
      </c>
      <c r="AD13" s="106" t="str">
        <f>IF(AH13&lt;16,"0","")&amp;DEC2HEX(AH13)</f>
        <v>FF</v>
      </c>
      <c r="AF13" s="35">
        <f>ROUND(AF14*(AM13*AF$3)+AL13,0)</f>
        <v>105</v>
      </c>
      <c r="AG13" s="35">
        <f>ROUND(AG14*AM13+AL13,0)</f>
        <v>192</v>
      </c>
      <c r="AH13" s="35">
        <f>MIN(ROUND(AH14*(AM13*AH$3)+AL13,0), 255)</f>
        <v>255</v>
      </c>
      <c r="AJ13" s="104">
        <f t="shared" si="3"/>
        <v>0.10619999999999999</v>
      </c>
      <c r="AK13" s="104" t="b">
        <f t="shared" si="29"/>
        <v>0</v>
      </c>
      <c r="AL13" s="104">
        <f t="shared" si="30"/>
        <v>27.080999999999996</v>
      </c>
      <c r="AM13" s="104">
        <f t="shared" si="31"/>
        <v>0.89380000000000004</v>
      </c>
      <c r="AN13">
        <f t="shared" si="4"/>
        <v>0.10619999999999999</v>
      </c>
      <c r="AR13" s="108"/>
      <c r="AS13" s="108"/>
      <c r="AT13" s="108"/>
      <c r="AU13" s="108"/>
      <c r="AV13" s="108"/>
      <c r="AX13" s="108"/>
    </row>
    <row r="14" spans="2:50" x14ac:dyDescent="0.3">
      <c r="B14" s="123">
        <v>800</v>
      </c>
      <c r="C14" s="109" t="str">
        <f t="shared" si="24"/>
        <v>color.800</v>
      </c>
      <c r="D14" s="150" t="str">
        <f t="shared" si="13"/>
        <v/>
      </c>
      <c r="E14" s="105" t="s">
        <v>150</v>
      </c>
      <c r="F14" s="106" t="str">
        <f t="shared" si="14"/>
        <v>87</v>
      </c>
      <c r="G14" s="106" t="str">
        <f t="shared" si="15"/>
        <v>DC</v>
      </c>
      <c r="H14" s="106" t="str">
        <f t="shared" si="16"/>
        <v>D3</v>
      </c>
      <c r="J14" s="35">
        <f t="shared" si="17"/>
        <v>135</v>
      </c>
      <c r="K14" s="35">
        <f t="shared" si="18"/>
        <v>220</v>
      </c>
      <c r="L14" s="35">
        <f t="shared" si="19"/>
        <v>211</v>
      </c>
      <c r="M14" s="50">
        <f t="shared" si="20"/>
        <v>0.252</v>
      </c>
      <c r="N14" s="50" t="b">
        <f t="shared" si="21"/>
        <v>0</v>
      </c>
      <c r="O14" s="50">
        <f t="shared" si="22"/>
        <v>64.260000000000005</v>
      </c>
      <c r="P14" s="50">
        <f t="shared" si="23"/>
        <v>0.748</v>
      </c>
      <c r="U14" s="107">
        <v>10</v>
      </c>
      <c r="W14" s="123">
        <v>650</v>
      </c>
      <c r="X14" s="109" t="str">
        <f t="shared" si="5"/>
        <v>color.650</v>
      </c>
      <c r="Y14" s="109">
        <v>650</v>
      </c>
      <c r="Z14" s="170" t="str">
        <f t="shared" si="25"/>
        <v/>
      </c>
      <c r="AA14" s="105" t="s">
        <v>170</v>
      </c>
      <c r="AB14" s="106" t="str">
        <f t="shared" si="26"/>
        <v>57</v>
      </c>
      <c r="AC14" s="106" t="str">
        <f t="shared" si="27"/>
        <v>B9</v>
      </c>
      <c r="AD14" s="106" t="str">
        <f t="shared" si="28"/>
        <v>FF</v>
      </c>
      <c r="AF14" s="35">
        <f t="shared" si="0"/>
        <v>87</v>
      </c>
      <c r="AG14" s="35">
        <f t="shared" si="1"/>
        <v>185</v>
      </c>
      <c r="AH14" s="35">
        <f t="shared" si="2"/>
        <v>255</v>
      </c>
      <c r="AJ14" s="104">
        <f t="shared" si="3"/>
        <v>0.10214999999999999</v>
      </c>
      <c r="AK14" s="104" t="b">
        <f t="shared" si="29"/>
        <v>0</v>
      </c>
      <c r="AL14" s="104">
        <f t="shared" si="30"/>
        <v>26.048249999999996</v>
      </c>
      <c r="AM14" s="104">
        <f t="shared" si="31"/>
        <v>0.89785000000000004</v>
      </c>
      <c r="AN14">
        <f t="shared" si="4"/>
        <v>0.10214999999999999</v>
      </c>
      <c r="AR14" s="108"/>
      <c r="AS14" s="108"/>
      <c r="AT14" s="108"/>
      <c r="AU14" s="108"/>
      <c r="AV14" s="108"/>
      <c r="AX14" s="108"/>
    </row>
    <row r="15" spans="2:50" x14ac:dyDescent="0.3">
      <c r="B15" s="123">
        <v>700</v>
      </c>
      <c r="C15" s="109" t="str">
        <f t="shared" si="24"/>
        <v>color.700</v>
      </c>
      <c r="D15" s="149" t="str">
        <f t="shared" si="13"/>
        <v/>
      </c>
      <c r="E15" s="105" t="s">
        <v>149</v>
      </c>
      <c r="F15" s="106" t="str">
        <f t="shared" si="14"/>
        <v>5F</v>
      </c>
      <c r="G15" s="106" t="str">
        <f t="shared" si="15"/>
        <v>D0</v>
      </c>
      <c r="H15" s="106" t="str">
        <f t="shared" si="16"/>
        <v>C4</v>
      </c>
      <c r="J15" s="35">
        <f t="shared" si="17"/>
        <v>95</v>
      </c>
      <c r="K15" s="35">
        <f t="shared" si="18"/>
        <v>208</v>
      </c>
      <c r="L15" s="35">
        <f t="shared" si="19"/>
        <v>196</v>
      </c>
      <c r="M15" s="50">
        <f t="shared" si="20"/>
        <v>0.19799999999999998</v>
      </c>
      <c r="N15" s="50" t="b">
        <f t="shared" si="21"/>
        <v>0</v>
      </c>
      <c r="O15" s="50">
        <f t="shared" si="22"/>
        <v>50.489999999999995</v>
      </c>
      <c r="P15" s="50">
        <f t="shared" si="23"/>
        <v>0.80200000000000005</v>
      </c>
      <c r="U15" s="107">
        <v>11</v>
      </c>
      <c r="W15" s="123">
        <v>600</v>
      </c>
      <c r="X15" s="109" t="str">
        <f t="shared" si="5"/>
        <v>color.600</v>
      </c>
      <c r="Y15" s="109">
        <v>600</v>
      </c>
      <c r="Z15" s="167" t="str">
        <f t="shared" si="25"/>
        <v/>
      </c>
      <c r="AA15" s="105" t="s">
        <v>167</v>
      </c>
      <c r="AB15" s="106" t="str">
        <f t="shared" si="26"/>
        <v>44</v>
      </c>
      <c r="AC15" s="106" t="str">
        <f t="shared" si="27"/>
        <v>B1</v>
      </c>
      <c r="AD15" s="106" t="str">
        <f t="shared" si="28"/>
        <v>FF</v>
      </c>
      <c r="AF15" s="35">
        <f t="shared" si="0"/>
        <v>68</v>
      </c>
      <c r="AG15" s="35">
        <f t="shared" si="1"/>
        <v>177</v>
      </c>
      <c r="AH15" s="35">
        <f t="shared" si="2"/>
        <v>255</v>
      </c>
      <c r="AJ15" s="104">
        <f t="shared" si="3"/>
        <v>9.8099999999999993E-2</v>
      </c>
      <c r="AK15" s="104" t="b">
        <f t="shared" si="29"/>
        <v>0</v>
      </c>
      <c r="AL15" s="104">
        <f t="shared" si="30"/>
        <v>25.015499999999999</v>
      </c>
      <c r="AM15" s="104">
        <f t="shared" si="31"/>
        <v>0.90190000000000003</v>
      </c>
      <c r="AN15">
        <f t="shared" si="4"/>
        <v>9.8099999999999993E-2</v>
      </c>
      <c r="AR15" s="108"/>
      <c r="AS15" s="108"/>
      <c r="AT15" s="108"/>
      <c r="AU15" s="108"/>
      <c r="AV15" s="108"/>
      <c r="AX15" s="108"/>
    </row>
    <row r="16" spans="2:50" x14ac:dyDescent="0.3">
      <c r="B16" s="123">
        <v>600</v>
      </c>
      <c r="C16" s="109" t="str">
        <f t="shared" si="24"/>
        <v>color.600</v>
      </c>
      <c r="D16" s="148" t="str">
        <f t="shared" si="13"/>
        <v/>
      </c>
      <c r="E16" s="105" t="s">
        <v>148</v>
      </c>
      <c r="F16" s="106" t="str">
        <f t="shared" si="14"/>
        <v>38</v>
      </c>
      <c r="G16" s="106" t="str">
        <f t="shared" si="15"/>
        <v>C5</v>
      </c>
      <c r="H16" s="106" t="str">
        <f t="shared" si="16"/>
        <v>B5</v>
      </c>
      <c r="J16" s="35">
        <f t="shared" si="17"/>
        <v>56</v>
      </c>
      <c r="K16" s="35">
        <f t="shared" si="18"/>
        <v>197</v>
      </c>
      <c r="L16" s="35">
        <f t="shared" si="19"/>
        <v>181</v>
      </c>
      <c r="M16" s="50">
        <f t="shared" si="20"/>
        <v>0.14399999999999999</v>
      </c>
      <c r="N16" s="50" t="b">
        <f t="shared" si="21"/>
        <v>0</v>
      </c>
      <c r="O16" s="50">
        <f t="shared" si="22"/>
        <v>36.72</v>
      </c>
      <c r="P16" s="50">
        <f t="shared" si="23"/>
        <v>0.85599999999999998</v>
      </c>
      <c r="U16" s="107">
        <v>12</v>
      </c>
      <c r="W16" s="123">
        <v>550</v>
      </c>
      <c r="X16" s="109" t="str">
        <f t="shared" si="5"/>
        <v>color.550</v>
      </c>
      <c r="Y16" s="109">
        <v>550</v>
      </c>
      <c r="Z16" s="164" t="str">
        <f t="shared" si="25"/>
        <v/>
      </c>
      <c r="AA16" s="105" t="s">
        <v>164</v>
      </c>
      <c r="AB16" s="106" t="str">
        <f t="shared" si="26"/>
        <v>30</v>
      </c>
      <c r="AC16" s="106" t="str">
        <f t="shared" si="27"/>
        <v>A8</v>
      </c>
      <c r="AD16" s="106" t="str">
        <f t="shared" si="28"/>
        <v>FF</v>
      </c>
      <c r="AF16" s="35">
        <f t="shared" si="0"/>
        <v>48</v>
      </c>
      <c r="AG16" s="35">
        <f t="shared" si="1"/>
        <v>168</v>
      </c>
      <c r="AH16" s="35">
        <f t="shared" si="2"/>
        <v>255</v>
      </c>
      <c r="AJ16" s="104">
        <f t="shared" si="3"/>
        <v>9.4049999999999995E-2</v>
      </c>
      <c r="AK16" s="104" t="b">
        <f t="shared" si="29"/>
        <v>0</v>
      </c>
      <c r="AL16" s="104">
        <f t="shared" si="30"/>
        <v>23.982749999999999</v>
      </c>
      <c r="AM16" s="104">
        <f>IF(AK16,1+AJ16,1-AJ16)</f>
        <v>0.90595000000000003</v>
      </c>
      <c r="AN16">
        <f t="shared" si="4"/>
        <v>9.4049999999999995E-2</v>
      </c>
      <c r="AR16" s="108"/>
      <c r="AS16" s="108"/>
      <c r="AT16" s="108"/>
      <c r="AU16" s="108"/>
      <c r="AV16" s="108"/>
      <c r="AX16" s="108"/>
    </row>
    <row r="17" spans="2:50" ht="15" thickBot="1" x14ac:dyDescent="0.35">
      <c r="B17" s="123">
        <v>500</v>
      </c>
      <c r="C17" s="121" t="str">
        <f t="shared" si="24"/>
        <v>color.500</v>
      </c>
      <c r="D17" s="147" t="str">
        <f t="shared" si="13"/>
        <v/>
      </c>
      <c r="E17" s="105" t="s">
        <v>147</v>
      </c>
      <c r="F17" s="106" t="str">
        <f t="shared" si="14"/>
        <v>17</v>
      </c>
      <c r="G17" s="106" t="str">
        <f t="shared" si="15"/>
        <v>BB</v>
      </c>
      <c r="H17" s="106" t="str">
        <f t="shared" si="16"/>
        <v>A9</v>
      </c>
      <c r="J17" s="35">
        <f>ROUND(J18*(P17*J$9)+O17,0)</f>
        <v>23</v>
      </c>
      <c r="K17" s="35">
        <f>ROUND(K18*P17+O17,0)</f>
        <v>187</v>
      </c>
      <c r="L17" s="35">
        <f>MIN(ROUND(L18*(P17*L$9)+O17,0), 255)</f>
        <v>169</v>
      </c>
      <c r="M17" s="50">
        <f>M18</f>
        <v>0.09</v>
      </c>
      <c r="N17" s="50" t="b">
        <f t="shared" si="21"/>
        <v>0</v>
      </c>
      <c r="O17" s="50">
        <f t="shared" si="22"/>
        <v>22.95</v>
      </c>
      <c r="P17" s="50">
        <f t="shared" si="23"/>
        <v>0.91</v>
      </c>
      <c r="U17" s="107">
        <v>13</v>
      </c>
      <c r="W17" s="123">
        <v>500</v>
      </c>
      <c r="X17" s="109" t="str">
        <f t="shared" si="5"/>
        <v>color.500</v>
      </c>
      <c r="Y17" s="109">
        <v>500</v>
      </c>
      <c r="Z17" s="160" t="str">
        <f t="shared" si="25"/>
        <v/>
      </c>
      <c r="AA17" s="105" t="s">
        <v>160</v>
      </c>
      <c r="AB17" s="106" t="str">
        <f t="shared" si="26"/>
        <v>1A</v>
      </c>
      <c r="AC17" s="106" t="str">
        <f t="shared" si="27"/>
        <v>9F</v>
      </c>
      <c r="AD17" s="106" t="str">
        <f t="shared" si="28"/>
        <v>FF</v>
      </c>
      <c r="AF17" s="35">
        <f>ROUND(AF18*(AM17*AF$3)+AL17,0)</f>
        <v>26</v>
      </c>
      <c r="AG17" s="35">
        <f>ROUND(AG18*AM17+AL17,0)</f>
        <v>159</v>
      </c>
      <c r="AH17" s="35">
        <f>MIN(ROUND(AH18*(AM17*AH$3)+AL17,0), 255)</f>
        <v>255</v>
      </c>
      <c r="AJ17" s="104">
        <f>AJ18</f>
        <v>0.09</v>
      </c>
      <c r="AK17" s="104" t="b">
        <f t="shared" si="29"/>
        <v>0</v>
      </c>
      <c r="AL17" s="104">
        <f t="shared" si="30"/>
        <v>22.95</v>
      </c>
      <c r="AM17" s="104">
        <f t="shared" si="31"/>
        <v>0.91</v>
      </c>
      <c r="AR17" s="108"/>
      <c r="AS17" s="108"/>
      <c r="AT17" s="108"/>
      <c r="AU17" s="108"/>
      <c r="AV17" s="108"/>
      <c r="AX17" s="108"/>
    </row>
    <row r="18" spans="2:50" ht="15.6" thickTop="1" thickBot="1" x14ac:dyDescent="0.35">
      <c r="B18" s="124">
        <v>450</v>
      </c>
      <c r="C18" s="110" t="str">
        <f t="shared" si="24"/>
        <v>color.450</v>
      </c>
      <c r="D18" s="143" t="str">
        <f t="shared" si="13"/>
        <v/>
      </c>
      <c r="E18" s="105" t="s">
        <v>143</v>
      </c>
      <c r="F18" s="106" t="str">
        <f>IF(J18&lt;16,"0","")&amp;DEC2HEX(J18)</f>
        <v>00</v>
      </c>
      <c r="G18" s="106" t="str">
        <f>IF(K18&lt;16,"0","")&amp;DEC2HEX(K18)</f>
        <v>B4</v>
      </c>
      <c r="H18" s="106" t="str">
        <f>IF(L18&lt;16,"0","")&amp;DEC2HEX(L18)</f>
        <v>A0</v>
      </c>
      <c r="J18" s="94">
        <v>0</v>
      </c>
      <c r="K18" s="94">
        <v>180</v>
      </c>
      <c r="L18" s="94">
        <v>160</v>
      </c>
      <c r="M18" s="50">
        <v>0.09</v>
      </c>
      <c r="N18" s="50">
        <v>0.6</v>
      </c>
      <c r="O18" s="50">
        <v>-0.04</v>
      </c>
      <c r="P18" s="50">
        <v>0.8</v>
      </c>
      <c r="U18" s="107">
        <v>14</v>
      </c>
      <c r="W18" s="123">
        <v>450</v>
      </c>
      <c r="X18" s="109" t="str">
        <f t="shared" si="5"/>
        <v>color.450</v>
      </c>
      <c r="Y18" s="110">
        <v>450</v>
      </c>
      <c r="Z18" s="159" t="str">
        <f t="shared" si="25"/>
        <v/>
      </c>
      <c r="AA18" s="105" t="s">
        <v>159</v>
      </c>
      <c r="AB18" s="106" t="str">
        <f t="shared" si="26"/>
        <v>03</v>
      </c>
      <c r="AC18" s="106" t="str">
        <f t="shared" si="27"/>
        <v>96</v>
      </c>
      <c r="AD18" s="106" t="str">
        <f t="shared" si="28"/>
        <v>FF</v>
      </c>
      <c r="AF18" s="94">
        <v>3</v>
      </c>
      <c r="AG18" s="94">
        <v>150</v>
      </c>
      <c r="AH18" s="94">
        <v>255</v>
      </c>
      <c r="AJ18" s="104">
        <v>0.09</v>
      </c>
      <c r="AK18" s="104">
        <v>0.09</v>
      </c>
      <c r="AL18" s="104">
        <v>-0.04</v>
      </c>
      <c r="AM18" s="104">
        <v>1.3</v>
      </c>
      <c r="AR18" s="108"/>
      <c r="AS18" s="108"/>
      <c r="AT18" s="108"/>
      <c r="AU18" s="108"/>
      <c r="AV18" s="108"/>
      <c r="AX18" s="108"/>
    </row>
    <row r="19" spans="2:50" ht="15" thickTop="1" x14ac:dyDescent="0.3">
      <c r="B19" s="123">
        <v>400</v>
      </c>
      <c r="C19" s="122" t="str">
        <f t="shared" si="24"/>
        <v>color.400</v>
      </c>
      <c r="D19" s="152" t="str">
        <f t="shared" si="13"/>
        <v/>
      </c>
      <c r="E19" s="105" t="s">
        <v>152</v>
      </c>
      <c r="F19" s="106" t="str">
        <f t="shared" si="14"/>
        <v>00</v>
      </c>
      <c r="G19" s="106" t="str">
        <f t="shared" si="15"/>
        <v>A6</v>
      </c>
      <c r="H19" s="106" t="str">
        <f t="shared" si="16"/>
        <v>93</v>
      </c>
      <c r="J19" s="35">
        <f>ROUND(J18*(P19*J$9)+O19,0)</f>
        <v>0</v>
      </c>
      <c r="K19" s="35">
        <f>ROUND(K18*P19+O19,0)</f>
        <v>166</v>
      </c>
      <c r="L19" s="35">
        <f>MIN(ROUND(L18*(P19*L$9)+O19,0), 255)</f>
        <v>147</v>
      </c>
      <c r="M19" s="50">
        <f>2*O18</f>
        <v>-0.08</v>
      </c>
      <c r="N19" s="50" t="b">
        <f t="shared" ref="N19:N24" si="42">(M19&lt;0)</f>
        <v>1</v>
      </c>
      <c r="O19" s="50">
        <f t="shared" ref="O19:O24" si="43">IF(N19,0,255*M19)</f>
        <v>0</v>
      </c>
      <c r="P19" s="50">
        <f t="shared" ref="P19:P24" si="44">IF(N19,1+M19,1-M19)</f>
        <v>0.92</v>
      </c>
      <c r="U19" s="107">
        <v>15</v>
      </c>
      <c r="W19" s="123">
        <v>440</v>
      </c>
      <c r="X19" s="109" t="str">
        <f t="shared" si="5"/>
        <v>color.440</v>
      </c>
      <c r="Y19" s="109">
        <v>440</v>
      </c>
      <c r="Z19" s="161" t="str">
        <f t="shared" si="25"/>
        <v/>
      </c>
      <c r="AA19" s="105" t="s">
        <v>161</v>
      </c>
      <c r="AB19" s="106" t="str">
        <f t="shared" si="26"/>
        <v>03</v>
      </c>
      <c r="AC19" s="106" t="str">
        <f t="shared" si="27"/>
        <v>8B</v>
      </c>
      <c r="AD19" s="106" t="str">
        <f t="shared" si="28"/>
        <v>ED</v>
      </c>
      <c r="AF19" s="35">
        <f>ROUND(AF18*(AM19*AF$3)+AL19,0)</f>
        <v>3</v>
      </c>
      <c r="AG19" s="35">
        <f>ROUND(AG18*AM19+AL19,0)</f>
        <v>139</v>
      </c>
      <c r="AH19" s="35">
        <f>MIN(ROUND(AH18*(AM19*AH$3)+AL19,0), 255)</f>
        <v>237</v>
      </c>
      <c r="AJ19" s="104">
        <f>(500-Y19)/100 * (AL$18*AM$18)+AL$18</f>
        <v>-7.1199999999999999E-2</v>
      </c>
      <c r="AK19" s="104" t="b">
        <f t="shared" ref="AK19:AK29" si="45">(AJ19&lt;0)</f>
        <v>1</v>
      </c>
      <c r="AL19" s="104">
        <f t="shared" ref="AL19:AL29" si="46">IF(AK19,0,255*AJ19)</f>
        <v>0</v>
      </c>
      <c r="AM19" s="104">
        <f t="shared" ref="AM19:AM29" si="47">IF(AK19,1+AJ19,1-AJ19)</f>
        <v>0.92879999999999996</v>
      </c>
      <c r="AN19">
        <f t="shared" ref="AN19:AN29" si="48">(500-Y19)/100 * (AL$18*AM$18)+AL$18</f>
        <v>-7.1199999999999999E-2</v>
      </c>
      <c r="AR19" s="108"/>
      <c r="AS19" s="108"/>
      <c r="AT19" s="108"/>
      <c r="AU19" s="108"/>
      <c r="AV19" s="108"/>
      <c r="AX19" s="108"/>
    </row>
    <row r="20" spans="2:50" x14ac:dyDescent="0.3">
      <c r="B20" s="123">
        <v>350</v>
      </c>
      <c r="C20" s="109" t="str">
        <f t="shared" si="24"/>
        <v>color.350</v>
      </c>
      <c r="D20" s="151" t="str">
        <f t="shared" si="13"/>
        <v/>
      </c>
      <c r="E20" s="105" t="s">
        <v>151</v>
      </c>
      <c r="F20" s="106" t="str">
        <f t="shared" si="14"/>
        <v>00</v>
      </c>
      <c r="G20" s="106" t="str">
        <f t="shared" si="15"/>
        <v>93</v>
      </c>
      <c r="H20" s="106" t="str">
        <f t="shared" si="16"/>
        <v>83</v>
      </c>
      <c r="J20" s="35">
        <f t="shared" ref="J20:J24" si="49">ROUND(J19*(P20*J$9)+O20,0)</f>
        <v>0</v>
      </c>
      <c r="K20" s="35">
        <f t="shared" ref="K20:K24" si="50">ROUND(K19*P20+O20,0)</f>
        <v>147</v>
      </c>
      <c r="L20" s="35">
        <f t="shared" ref="L20:L24" si="51">MIN(ROUND(L19*(P20*L$9)+O20,0), 255)</f>
        <v>131</v>
      </c>
      <c r="M20" s="50">
        <f t="shared" ref="M20:M29" si="52">M19+(O$18*P$18)</f>
        <v>-0.112</v>
      </c>
      <c r="N20" s="50" t="b">
        <f t="shared" si="42"/>
        <v>1</v>
      </c>
      <c r="O20" s="50">
        <f t="shared" si="43"/>
        <v>0</v>
      </c>
      <c r="P20" s="50">
        <f t="shared" si="44"/>
        <v>0.88800000000000001</v>
      </c>
      <c r="U20" s="107">
        <v>16</v>
      </c>
      <c r="W20" s="123">
        <v>400</v>
      </c>
      <c r="X20" s="109" t="str">
        <f t="shared" si="5"/>
        <v>color.400</v>
      </c>
      <c r="Y20" s="109">
        <v>400</v>
      </c>
      <c r="Z20" s="163" t="str">
        <f t="shared" si="25"/>
        <v/>
      </c>
      <c r="AA20" s="105" t="s">
        <v>163</v>
      </c>
      <c r="AB20" s="106" t="str">
        <f t="shared" si="26"/>
        <v>03</v>
      </c>
      <c r="AC20" s="106" t="str">
        <f t="shared" si="27"/>
        <v>7E</v>
      </c>
      <c r="AD20" s="106" t="str">
        <f t="shared" si="28"/>
        <v>D7</v>
      </c>
      <c r="AF20" s="35">
        <f t="shared" ref="AF20:AF27" si="53">ROUND(AF19*(AM20*AF$3)+AL20,0)</f>
        <v>3</v>
      </c>
      <c r="AG20" s="35">
        <f t="shared" ref="AG20:AG29" si="54">ROUND(AG19*AM20+AL20,0)</f>
        <v>126</v>
      </c>
      <c r="AH20" s="35">
        <f t="shared" ref="AH20:AH29" si="55">MIN(ROUND(AH19*(AM20*AH$3)+AL20,0), 255)</f>
        <v>215</v>
      </c>
      <c r="AJ20" s="108">
        <f t="shared" ref="AJ20:AJ29" si="56">(500-Y20)/100 * (AL$18*AM$18)+AL$18</f>
        <v>-9.1999999999999998E-2</v>
      </c>
      <c r="AK20" s="104" t="b">
        <f t="shared" si="45"/>
        <v>1</v>
      </c>
      <c r="AL20" s="104">
        <f t="shared" si="46"/>
        <v>0</v>
      </c>
      <c r="AM20" s="104">
        <f t="shared" si="47"/>
        <v>0.90800000000000003</v>
      </c>
      <c r="AN20">
        <f t="shared" si="48"/>
        <v>-9.1999999999999998E-2</v>
      </c>
      <c r="AR20" s="108"/>
      <c r="AS20" s="108"/>
      <c r="AT20" s="108"/>
      <c r="AU20" s="108"/>
      <c r="AV20" s="108"/>
      <c r="AX20" s="108"/>
    </row>
    <row r="21" spans="2:50" x14ac:dyDescent="0.3">
      <c r="B21" s="123">
        <v>300</v>
      </c>
      <c r="C21" s="109" t="str">
        <f t="shared" si="24"/>
        <v>color.300</v>
      </c>
      <c r="D21" s="153" t="str">
        <f t="shared" si="13"/>
        <v/>
      </c>
      <c r="E21" s="105" t="s">
        <v>153</v>
      </c>
      <c r="F21" s="106" t="str">
        <f t="shared" si="14"/>
        <v>00</v>
      </c>
      <c r="G21" s="106" t="str">
        <f t="shared" si="15"/>
        <v>7E</v>
      </c>
      <c r="H21" s="106" t="str">
        <f t="shared" si="16"/>
        <v>70</v>
      </c>
      <c r="J21" s="35">
        <f t="shared" si="49"/>
        <v>0</v>
      </c>
      <c r="K21" s="35">
        <f t="shared" si="50"/>
        <v>126</v>
      </c>
      <c r="L21" s="35">
        <f t="shared" si="51"/>
        <v>112</v>
      </c>
      <c r="M21" s="50">
        <f t="shared" si="52"/>
        <v>-0.14400000000000002</v>
      </c>
      <c r="N21" s="50" t="b">
        <f t="shared" si="42"/>
        <v>1</v>
      </c>
      <c r="O21" s="50">
        <f t="shared" si="43"/>
        <v>0</v>
      </c>
      <c r="P21" s="50">
        <f t="shared" si="44"/>
        <v>0.85599999999999998</v>
      </c>
      <c r="U21" s="107">
        <v>17</v>
      </c>
      <c r="W21" s="123">
        <v>350</v>
      </c>
      <c r="X21" s="109" t="str">
        <f t="shared" si="5"/>
        <v>color.350</v>
      </c>
      <c r="Y21" s="109">
        <v>350</v>
      </c>
      <c r="Z21" s="162" t="str">
        <f t="shared" ref="Z21:Z29" si="57">SetIt(Z21, AB21, AC21, AD21, "#" &amp; _xlfn.CONCAT(AB21,AC21,AD21))</f>
        <v/>
      </c>
      <c r="AA21" s="105" t="s">
        <v>162</v>
      </c>
      <c r="AB21" s="106" t="str">
        <f t="shared" ref="AB21:AD27" si="58">IF(AF21&lt;16,"0","")&amp;DEC2HEX(AF21)</f>
        <v>03</v>
      </c>
      <c r="AC21" s="106" t="str">
        <f t="shared" si="58"/>
        <v>6F</v>
      </c>
      <c r="AD21" s="106" t="str">
        <f t="shared" si="58"/>
        <v>BE</v>
      </c>
      <c r="AF21" s="35">
        <f t="shared" si="53"/>
        <v>3</v>
      </c>
      <c r="AG21" s="35">
        <f t="shared" si="54"/>
        <v>111</v>
      </c>
      <c r="AH21" s="35">
        <f t="shared" si="55"/>
        <v>190</v>
      </c>
      <c r="AJ21" s="108">
        <f t="shared" si="56"/>
        <v>-0.11800000000000002</v>
      </c>
      <c r="AK21" s="108" t="b">
        <f t="shared" si="45"/>
        <v>1</v>
      </c>
      <c r="AL21" s="108">
        <f t="shared" si="46"/>
        <v>0</v>
      </c>
      <c r="AM21" s="108">
        <f t="shared" si="47"/>
        <v>0.88200000000000001</v>
      </c>
      <c r="AN21">
        <f t="shared" si="48"/>
        <v>-0.11800000000000002</v>
      </c>
      <c r="AR21" s="108"/>
      <c r="AS21" s="108"/>
      <c r="AT21" s="108"/>
      <c r="AU21" s="108"/>
      <c r="AV21" s="108"/>
      <c r="AX21" s="108"/>
    </row>
    <row r="22" spans="2:50" x14ac:dyDescent="0.3">
      <c r="B22" s="123">
        <v>250</v>
      </c>
      <c r="C22" s="109" t="str">
        <f t="shared" si="24"/>
        <v>color.250</v>
      </c>
      <c r="D22" s="154" t="str">
        <f t="shared" si="13"/>
        <v/>
      </c>
      <c r="E22" s="105" t="s">
        <v>154</v>
      </c>
      <c r="F22" s="106" t="str">
        <f t="shared" si="14"/>
        <v>00</v>
      </c>
      <c r="G22" s="106" t="str">
        <f t="shared" si="15"/>
        <v>68</v>
      </c>
      <c r="H22" s="106" t="str">
        <f t="shared" si="16"/>
        <v>5C</v>
      </c>
      <c r="J22" s="35">
        <f t="shared" si="49"/>
        <v>0</v>
      </c>
      <c r="K22" s="35">
        <f t="shared" si="50"/>
        <v>104</v>
      </c>
      <c r="L22" s="35">
        <f t="shared" si="51"/>
        <v>92</v>
      </c>
      <c r="M22" s="50">
        <f t="shared" si="52"/>
        <v>-0.17600000000000002</v>
      </c>
      <c r="N22" s="50" t="b">
        <f t="shared" si="42"/>
        <v>1</v>
      </c>
      <c r="O22" s="50">
        <f t="shared" si="43"/>
        <v>0</v>
      </c>
      <c r="P22" s="50">
        <f t="shared" si="44"/>
        <v>0.82399999999999995</v>
      </c>
      <c r="U22" s="107">
        <v>18</v>
      </c>
      <c r="W22" s="123">
        <v>300</v>
      </c>
      <c r="X22" s="109" t="str">
        <f t="shared" si="5"/>
        <v>color.300</v>
      </c>
      <c r="Y22" s="109">
        <v>300</v>
      </c>
      <c r="Z22" s="166" t="str">
        <f t="shared" si="57"/>
        <v/>
      </c>
      <c r="AA22" s="105" t="s">
        <v>166</v>
      </c>
      <c r="AB22" s="106" t="str">
        <f t="shared" si="58"/>
        <v>03</v>
      </c>
      <c r="AC22" s="106" t="str">
        <f t="shared" si="58"/>
        <v>5F</v>
      </c>
      <c r="AD22" s="106" t="str">
        <f t="shared" si="58"/>
        <v>A3</v>
      </c>
      <c r="AF22" s="35">
        <f t="shared" si="53"/>
        <v>3</v>
      </c>
      <c r="AG22" s="35">
        <f t="shared" si="54"/>
        <v>95</v>
      </c>
      <c r="AH22" s="35">
        <f t="shared" si="55"/>
        <v>163</v>
      </c>
      <c r="AJ22" s="108">
        <f t="shared" si="56"/>
        <v>-0.14400000000000002</v>
      </c>
      <c r="AK22" s="104" t="b">
        <f t="shared" si="45"/>
        <v>1</v>
      </c>
      <c r="AL22" s="104">
        <f t="shared" si="46"/>
        <v>0</v>
      </c>
      <c r="AM22" s="104">
        <f t="shared" si="47"/>
        <v>0.85599999999999998</v>
      </c>
      <c r="AN22">
        <f t="shared" si="48"/>
        <v>-0.14400000000000002</v>
      </c>
      <c r="AR22" s="108"/>
      <c r="AS22" s="108"/>
      <c r="AT22" s="108"/>
      <c r="AU22" s="108"/>
      <c r="AV22" s="108"/>
      <c r="AX22" s="108"/>
    </row>
    <row r="23" spans="2:50" x14ac:dyDescent="0.3">
      <c r="B23" s="123">
        <v>200</v>
      </c>
      <c r="C23" s="109" t="str">
        <f t="shared" si="24"/>
        <v>color.200</v>
      </c>
      <c r="D23" s="155" t="str">
        <f t="shared" si="13"/>
        <v/>
      </c>
      <c r="E23" s="105" t="s">
        <v>155</v>
      </c>
      <c r="F23" s="106" t="str">
        <f t="shared" si="14"/>
        <v>00</v>
      </c>
      <c r="G23" s="106" t="str">
        <f t="shared" si="15"/>
        <v>52</v>
      </c>
      <c r="H23" s="106" t="str">
        <f t="shared" si="16"/>
        <v>49</v>
      </c>
      <c r="J23" s="35">
        <f t="shared" si="49"/>
        <v>0</v>
      </c>
      <c r="K23" s="35">
        <f t="shared" si="50"/>
        <v>82</v>
      </c>
      <c r="L23" s="35">
        <f t="shared" si="51"/>
        <v>73</v>
      </c>
      <c r="M23" s="50">
        <f t="shared" si="52"/>
        <v>-0.20800000000000002</v>
      </c>
      <c r="N23" s="50" t="b">
        <f t="shared" si="42"/>
        <v>1</v>
      </c>
      <c r="O23" s="50">
        <f t="shared" si="43"/>
        <v>0</v>
      </c>
      <c r="P23" s="50">
        <f t="shared" si="44"/>
        <v>0.79200000000000004</v>
      </c>
      <c r="U23" s="107">
        <v>19</v>
      </c>
      <c r="W23" s="123">
        <v>250</v>
      </c>
      <c r="X23" s="109" t="str">
        <f t="shared" si="5"/>
        <v>color.250</v>
      </c>
      <c r="Y23" s="109">
        <v>250</v>
      </c>
      <c r="Z23" s="169" t="str">
        <f t="shared" si="57"/>
        <v/>
      </c>
      <c r="AA23" s="105" t="s">
        <v>169</v>
      </c>
      <c r="AB23" s="106" t="str">
        <f t="shared" si="58"/>
        <v>02</v>
      </c>
      <c r="AC23" s="106" t="str">
        <f t="shared" si="58"/>
        <v>4F</v>
      </c>
      <c r="AD23" s="106" t="str">
        <f t="shared" si="58"/>
        <v>87</v>
      </c>
      <c r="AF23" s="35">
        <f t="shared" si="53"/>
        <v>2</v>
      </c>
      <c r="AG23" s="35">
        <f t="shared" si="54"/>
        <v>79</v>
      </c>
      <c r="AH23" s="35">
        <f t="shared" si="55"/>
        <v>135</v>
      </c>
      <c r="AJ23" s="108">
        <f t="shared" si="56"/>
        <v>-0.17</v>
      </c>
      <c r="AK23" s="104" t="b">
        <f t="shared" si="45"/>
        <v>1</v>
      </c>
      <c r="AL23" s="104">
        <f t="shared" si="46"/>
        <v>0</v>
      </c>
      <c r="AM23" s="104">
        <f t="shared" si="47"/>
        <v>0.83</v>
      </c>
      <c r="AN23">
        <f t="shared" si="48"/>
        <v>-0.17</v>
      </c>
      <c r="AR23" s="108"/>
      <c r="AS23" s="108"/>
      <c r="AT23" s="108"/>
      <c r="AU23" s="108"/>
      <c r="AV23" s="108"/>
      <c r="AX23" s="108"/>
    </row>
    <row r="24" spans="2:50" x14ac:dyDescent="0.3">
      <c r="B24" s="123">
        <v>150</v>
      </c>
      <c r="C24" s="109" t="str">
        <f t="shared" si="24"/>
        <v>color.150</v>
      </c>
      <c r="D24" s="156" t="str">
        <f t="shared" si="13"/>
        <v/>
      </c>
      <c r="E24" s="105" t="s">
        <v>156</v>
      </c>
      <c r="F24" s="106" t="str">
        <f t="shared" si="14"/>
        <v>00</v>
      </c>
      <c r="G24" s="106" t="str">
        <f t="shared" si="15"/>
        <v>3E</v>
      </c>
      <c r="H24" s="106" t="str">
        <f t="shared" si="16"/>
        <v>37</v>
      </c>
      <c r="J24" s="35">
        <f t="shared" si="49"/>
        <v>0</v>
      </c>
      <c r="K24" s="35">
        <f t="shared" si="50"/>
        <v>62</v>
      </c>
      <c r="L24" s="35">
        <f t="shared" si="51"/>
        <v>55</v>
      </c>
      <c r="M24" s="50">
        <f t="shared" si="52"/>
        <v>-0.24000000000000002</v>
      </c>
      <c r="N24" s="50" t="b">
        <f t="shared" si="42"/>
        <v>1</v>
      </c>
      <c r="O24" s="50">
        <f t="shared" si="43"/>
        <v>0</v>
      </c>
      <c r="P24" s="50">
        <f t="shared" si="44"/>
        <v>0.76</v>
      </c>
      <c r="U24" s="107">
        <v>20</v>
      </c>
      <c r="W24" s="123">
        <v>220</v>
      </c>
      <c r="X24" s="109" t="str">
        <f t="shared" si="5"/>
        <v>color.220</v>
      </c>
      <c r="Y24" s="109">
        <v>220</v>
      </c>
      <c r="Z24" s="165" t="str">
        <f t="shared" si="57"/>
        <v/>
      </c>
      <c r="AA24" s="105" t="s">
        <v>165</v>
      </c>
      <c r="AB24" s="106" t="str">
        <f t="shared" si="58"/>
        <v>02</v>
      </c>
      <c r="AC24" s="106" t="str">
        <f t="shared" si="58"/>
        <v>40</v>
      </c>
      <c r="AD24" s="106" t="str">
        <f t="shared" si="58"/>
        <v>6E</v>
      </c>
      <c r="AF24" s="35">
        <f t="shared" si="53"/>
        <v>2</v>
      </c>
      <c r="AG24" s="35">
        <f t="shared" si="54"/>
        <v>64</v>
      </c>
      <c r="AH24" s="35">
        <f t="shared" si="55"/>
        <v>110</v>
      </c>
      <c r="AJ24" s="108">
        <f t="shared" si="56"/>
        <v>-0.18560000000000001</v>
      </c>
      <c r="AK24" s="108" t="b">
        <f t="shared" si="45"/>
        <v>1</v>
      </c>
      <c r="AL24" s="108">
        <f t="shared" si="46"/>
        <v>0</v>
      </c>
      <c r="AM24" s="108">
        <f t="shared" si="47"/>
        <v>0.81440000000000001</v>
      </c>
      <c r="AN24">
        <f t="shared" si="48"/>
        <v>-0.18560000000000001</v>
      </c>
      <c r="AR24" s="108"/>
      <c r="AS24" s="108"/>
      <c r="AT24" s="108"/>
      <c r="AU24" s="108"/>
      <c r="AV24" s="108"/>
      <c r="AX24" s="108"/>
    </row>
    <row r="25" spans="2:50" x14ac:dyDescent="0.3">
      <c r="B25" s="123">
        <v>100</v>
      </c>
      <c r="C25" s="109" t="str">
        <f t="shared" ref="C25" si="59">C$10&amp;"."&amp;B25</f>
        <v>color.100</v>
      </c>
      <c r="D25" s="145" t="str">
        <f t="shared" ref="D25" si="60">SetIt(D25, F25, G25, H25, "#" &amp; _xlfn.CONCAT(F25,G25,H25))</f>
        <v/>
      </c>
      <c r="E25" s="105" t="s">
        <v>145</v>
      </c>
      <c r="F25" s="106" t="str">
        <f t="shared" ref="F25" si="61">IF(J25&lt;16,"0","")&amp;DEC2HEX(J25)</f>
        <v>00</v>
      </c>
      <c r="G25" s="106" t="str">
        <f t="shared" ref="G25" si="62">IF(K25&lt;16,"0","")&amp;DEC2HEX(K25)</f>
        <v>2D</v>
      </c>
      <c r="H25" s="106" t="str">
        <f t="shared" ref="H25" si="63">IF(L25&lt;16,"0","")&amp;DEC2HEX(L25)</f>
        <v>28</v>
      </c>
      <c r="J25" s="35">
        <f t="shared" ref="J25" si="64">ROUND(J24*(P25*J$9)+O25,0)</f>
        <v>0</v>
      </c>
      <c r="K25" s="35">
        <f t="shared" ref="K25" si="65">ROUND(K24*P25+O25,0)</f>
        <v>45</v>
      </c>
      <c r="L25" s="35">
        <f t="shared" ref="L25" si="66">MIN(ROUND(L24*(P25*L$9)+O25,0), 255)</f>
        <v>40</v>
      </c>
      <c r="M25" s="120">
        <f t="shared" si="52"/>
        <v>-0.27200000000000002</v>
      </c>
      <c r="N25" s="120" t="b">
        <f t="shared" ref="N25" si="67">(M25&lt;0)</f>
        <v>1</v>
      </c>
      <c r="O25" s="120">
        <f t="shared" ref="O25" si="68">IF(N25,0,255*M25)</f>
        <v>0</v>
      </c>
      <c r="P25" s="120">
        <f t="shared" ref="P25" si="69">IF(N25,1+M25,1-M25)</f>
        <v>0.72799999999999998</v>
      </c>
      <c r="U25" s="107">
        <v>21</v>
      </c>
      <c r="W25" s="123">
        <v>200</v>
      </c>
      <c r="X25" s="109" t="str">
        <f t="shared" si="5"/>
        <v>color.200</v>
      </c>
      <c r="Y25" s="109">
        <v>200</v>
      </c>
      <c r="Z25" s="172" t="str">
        <f t="shared" si="57"/>
        <v/>
      </c>
      <c r="AA25" s="105" t="s">
        <v>172</v>
      </c>
      <c r="AB25" s="106" t="str">
        <f t="shared" si="58"/>
        <v>02</v>
      </c>
      <c r="AC25" s="106" t="str">
        <f t="shared" si="58"/>
        <v>33</v>
      </c>
      <c r="AD25" s="106" t="str">
        <f t="shared" si="58"/>
        <v>58</v>
      </c>
      <c r="AF25" s="35">
        <f t="shared" si="53"/>
        <v>2</v>
      </c>
      <c r="AG25" s="35">
        <f t="shared" si="54"/>
        <v>51</v>
      </c>
      <c r="AH25" s="35">
        <f t="shared" si="55"/>
        <v>88</v>
      </c>
      <c r="AJ25" s="108">
        <f t="shared" si="56"/>
        <v>-0.19600000000000004</v>
      </c>
      <c r="AK25" s="104" t="b">
        <f t="shared" si="45"/>
        <v>1</v>
      </c>
      <c r="AL25" s="104">
        <f t="shared" si="46"/>
        <v>0</v>
      </c>
      <c r="AM25" s="104">
        <f t="shared" si="47"/>
        <v>0.80399999999999994</v>
      </c>
      <c r="AN25">
        <f t="shared" si="48"/>
        <v>-0.19600000000000004</v>
      </c>
      <c r="AR25" s="108"/>
      <c r="AS25" s="108"/>
      <c r="AT25" s="108"/>
      <c r="AU25" s="108"/>
      <c r="AV25" s="108"/>
      <c r="AX25" s="108"/>
    </row>
    <row r="26" spans="2:50" x14ac:dyDescent="0.3">
      <c r="B26" s="123" t="s">
        <v>113</v>
      </c>
      <c r="C26" s="109" t="str">
        <f t="shared" ref="C26" si="70">C$10&amp;"."&amp;B26</f>
        <v>color.050</v>
      </c>
      <c r="D26" s="146" t="str">
        <f t="shared" ref="D26" si="71">SetIt(D26, F26, G26, H26, "#" &amp; _xlfn.CONCAT(F26,G26,H26))</f>
        <v/>
      </c>
      <c r="E26" s="105" t="s">
        <v>146</v>
      </c>
      <c r="F26" s="106" t="str">
        <f t="shared" ref="F26" si="72">IF(J26&lt;16,"0","")&amp;DEC2HEX(J26)</f>
        <v>00</v>
      </c>
      <c r="G26" s="106" t="str">
        <f t="shared" ref="G26" si="73">IF(K26&lt;16,"0","")&amp;DEC2HEX(K26)</f>
        <v>1F</v>
      </c>
      <c r="H26" s="106" t="str">
        <f t="shared" ref="H26" si="74">IF(L26&lt;16,"0","")&amp;DEC2HEX(L26)</f>
        <v>1C</v>
      </c>
      <c r="J26" s="35">
        <f t="shared" ref="J26" si="75">ROUND(J25*(P26*J$9)+O26,0)</f>
        <v>0</v>
      </c>
      <c r="K26" s="35">
        <f t="shared" ref="K26" si="76">ROUND(K25*P26+O26,0)</f>
        <v>31</v>
      </c>
      <c r="L26" s="35">
        <f t="shared" ref="L26" si="77">MIN(ROUND(L25*(P26*L$9)+O26,0), 255)</f>
        <v>28</v>
      </c>
      <c r="M26" s="120">
        <f t="shared" si="52"/>
        <v>-0.30400000000000005</v>
      </c>
      <c r="N26" s="120" t="b">
        <f t="shared" ref="N26" si="78">(M26&lt;0)</f>
        <v>1</v>
      </c>
      <c r="O26" s="120">
        <f t="shared" ref="O26" si="79">IF(N26,0,255*M26)</f>
        <v>0</v>
      </c>
      <c r="P26" s="120">
        <f t="shared" ref="P26" si="80">IF(N26,1+M26,1-M26)</f>
        <v>0.69599999999999995</v>
      </c>
      <c r="U26" s="107">
        <v>22</v>
      </c>
      <c r="W26" s="123">
        <v>150</v>
      </c>
      <c r="X26" s="109" t="str">
        <f t="shared" si="5"/>
        <v>color.150</v>
      </c>
      <c r="Y26" s="109">
        <v>150</v>
      </c>
      <c r="Z26" s="171" t="str">
        <f t="shared" si="57"/>
        <v/>
      </c>
      <c r="AA26" s="105" t="s">
        <v>171</v>
      </c>
      <c r="AB26" s="106" t="str">
        <f t="shared" si="58"/>
        <v>02</v>
      </c>
      <c r="AC26" s="106" t="str">
        <f t="shared" si="58"/>
        <v>28</v>
      </c>
      <c r="AD26" s="106" t="str">
        <f t="shared" si="58"/>
        <v>44</v>
      </c>
      <c r="AF26" s="35">
        <f t="shared" si="53"/>
        <v>2</v>
      </c>
      <c r="AG26" s="35">
        <f t="shared" si="54"/>
        <v>40</v>
      </c>
      <c r="AH26" s="35">
        <f t="shared" si="55"/>
        <v>68</v>
      </c>
      <c r="AJ26" s="108">
        <f t="shared" si="56"/>
        <v>-0.22200000000000003</v>
      </c>
      <c r="AK26" s="108" t="b">
        <f t="shared" si="45"/>
        <v>1</v>
      </c>
      <c r="AL26" s="108">
        <f t="shared" si="46"/>
        <v>0</v>
      </c>
      <c r="AM26" s="108">
        <f t="shared" si="47"/>
        <v>0.77800000000000002</v>
      </c>
      <c r="AN26">
        <f t="shared" si="48"/>
        <v>-0.22200000000000003</v>
      </c>
      <c r="AR26" s="108"/>
      <c r="AS26" s="108"/>
      <c r="AT26" s="108"/>
      <c r="AU26" s="108"/>
      <c r="AV26" s="108"/>
      <c r="AX26" s="108"/>
    </row>
    <row r="27" spans="2:50" x14ac:dyDescent="0.3">
      <c r="B27" s="123" t="s">
        <v>120</v>
      </c>
      <c r="C27" s="109" t="str">
        <f t="shared" ref="C27" si="81">C$10&amp;"."&amp;B27</f>
        <v>color.040</v>
      </c>
      <c r="D27" s="138" t="str">
        <f t="shared" ref="D27" si="82">SetIt(D27, F27, G27, H27, "#" &amp; _xlfn.CONCAT(F27,G27,H27))</f>
        <v/>
      </c>
      <c r="E27" s="105" t="s">
        <v>138</v>
      </c>
      <c r="F27" s="106" t="str">
        <f t="shared" ref="F27" si="83">IF(J27&lt;16,"0","")&amp;DEC2HEX(J27)</f>
        <v>00</v>
      </c>
      <c r="G27" s="106" t="str">
        <f t="shared" ref="G27" si="84">IF(K27&lt;16,"0","")&amp;DEC2HEX(K27)</f>
        <v>15</v>
      </c>
      <c r="H27" s="106" t="str">
        <f t="shared" ref="H27" si="85">IF(L27&lt;16,"0","")&amp;DEC2HEX(L27)</f>
        <v>13</v>
      </c>
      <c r="J27" s="35">
        <f t="shared" ref="J27" si="86">ROUND(J26*(P27*J$9)+O27,0)</f>
        <v>0</v>
      </c>
      <c r="K27" s="35">
        <f t="shared" ref="K27" si="87">ROUND(K26*P27+O27,0)</f>
        <v>21</v>
      </c>
      <c r="L27" s="35">
        <f t="shared" ref="L27" si="88">MIN(ROUND(L26*(P27*L$9)+O27,0), 255)</f>
        <v>19</v>
      </c>
      <c r="M27" s="120">
        <f t="shared" si="52"/>
        <v>-0.33600000000000008</v>
      </c>
      <c r="N27" s="120" t="b">
        <f t="shared" ref="N27" si="89">(M27&lt;0)</f>
        <v>1</v>
      </c>
      <c r="O27" s="120">
        <f t="shared" ref="O27" si="90">IF(N27,0,255*M27)</f>
        <v>0</v>
      </c>
      <c r="P27" s="120">
        <f t="shared" ref="P27" si="91">IF(N27,1+M27,1-M27)</f>
        <v>0.66399999999999992</v>
      </c>
      <c r="U27" s="107">
        <v>23</v>
      </c>
      <c r="W27" s="123">
        <v>100</v>
      </c>
      <c r="X27" s="109" t="str">
        <f t="shared" si="5"/>
        <v>color.100</v>
      </c>
      <c r="Y27" s="109">
        <v>100</v>
      </c>
      <c r="Z27" s="173" t="str">
        <f t="shared" si="57"/>
        <v/>
      </c>
      <c r="AA27" s="105" t="s">
        <v>173</v>
      </c>
      <c r="AB27" s="106" t="str">
        <f t="shared" si="58"/>
        <v>02</v>
      </c>
      <c r="AC27" s="106" t="str">
        <f t="shared" si="58"/>
        <v>1E</v>
      </c>
      <c r="AD27" s="106" t="str">
        <f t="shared" si="58"/>
        <v>33</v>
      </c>
      <c r="AF27" s="35">
        <f t="shared" si="53"/>
        <v>2</v>
      </c>
      <c r="AG27" s="35">
        <f t="shared" si="54"/>
        <v>30</v>
      </c>
      <c r="AH27" s="35">
        <f t="shared" si="55"/>
        <v>51</v>
      </c>
      <c r="AJ27" s="108">
        <f t="shared" si="56"/>
        <v>-0.24800000000000003</v>
      </c>
      <c r="AK27" s="104" t="b">
        <f t="shared" si="45"/>
        <v>1</v>
      </c>
      <c r="AL27" s="104">
        <f t="shared" si="46"/>
        <v>0</v>
      </c>
      <c r="AM27" s="104">
        <f t="shared" si="47"/>
        <v>0.752</v>
      </c>
      <c r="AN27">
        <f t="shared" si="48"/>
        <v>-0.24800000000000003</v>
      </c>
      <c r="AR27" s="108"/>
      <c r="AS27" s="108"/>
      <c r="AT27" s="108"/>
      <c r="AU27" s="108"/>
      <c r="AV27" s="108"/>
      <c r="AX27" s="108"/>
    </row>
    <row r="28" spans="2:50" x14ac:dyDescent="0.3">
      <c r="B28" s="123" t="s">
        <v>118</v>
      </c>
      <c r="C28" s="109" t="str">
        <f t="shared" ref="C28" si="92">C$10&amp;"."&amp;B28</f>
        <v>color.030</v>
      </c>
      <c r="D28" s="140" t="str">
        <f t="shared" ref="D28" si="93">SetIt(D28, F28, G28, H28, "#" &amp; _xlfn.CONCAT(F28,G28,H28))</f>
        <v/>
      </c>
      <c r="E28" s="105" t="s">
        <v>140</v>
      </c>
      <c r="F28" s="106" t="str">
        <f t="shared" ref="F28" si="94">IF(J28&lt;16,"0","")&amp;DEC2HEX(J28)</f>
        <v>00</v>
      </c>
      <c r="G28" s="106" t="str">
        <f t="shared" ref="G28" si="95">IF(K28&lt;16,"0","")&amp;DEC2HEX(K28)</f>
        <v>0D</v>
      </c>
      <c r="H28" s="106" t="str">
        <f t="shared" ref="H28" si="96">IF(L28&lt;16,"0","")&amp;DEC2HEX(L28)</f>
        <v>0C</v>
      </c>
      <c r="J28" s="35">
        <f t="shared" ref="J28" si="97">ROUND(J27*(P28*J$9)+O28,0)</f>
        <v>0</v>
      </c>
      <c r="K28" s="35">
        <f t="shared" ref="K28" si="98">ROUND(K27*P28+O28,0)</f>
        <v>13</v>
      </c>
      <c r="L28" s="35">
        <f t="shared" ref="L28" si="99">MIN(ROUND(L27*(P28*L$9)+O28,0), 255)</f>
        <v>12</v>
      </c>
      <c r="M28" s="120">
        <f t="shared" si="52"/>
        <v>-0.3680000000000001</v>
      </c>
      <c r="N28" s="120" t="b">
        <f t="shared" ref="N28" si="100">(M28&lt;0)</f>
        <v>1</v>
      </c>
      <c r="O28" s="120">
        <f t="shared" ref="O28" si="101">IF(N28,0,255*M28)</f>
        <v>0</v>
      </c>
      <c r="P28" s="120">
        <f t="shared" ref="P28" si="102">IF(N28,1+M28,1-M28)</f>
        <v>0.6319999999999999</v>
      </c>
      <c r="U28" s="107">
        <v>24</v>
      </c>
      <c r="W28" s="123" t="s">
        <v>113</v>
      </c>
      <c r="X28" s="109" t="str">
        <f t="shared" si="5"/>
        <v>color.050</v>
      </c>
      <c r="Y28" s="109">
        <v>50</v>
      </c>
      <c r="Z28" s="176" t="str">
        <f t="shared" si="57"/>
        <v/>
      </c>
      <c r="AA28" s="105" t="s">
        <v>176</v>
      </c>
      <c r="AB28" s="106" t="str">
        <f>IF(AF28&lt;16,"0","")&amp;DEC2HEX(AF28)</f>
        <v>01</v>
      </c>
      <c r="AC28" s="106" t="str">
        <f t="shared" ref="AB28:AD29" si="103">IF(AG28&lt;16,"0","")&amp;DEC2HEX(AG28)</f>
        <v>16</v>
      </c>
      <c r="AD28" s="106" t="str">
        <f t="shared" si="103"/>
        <v>25</v>
      </c>
      <c r="AF28" s="35">
        <f>ROUND(AF27*(AM28*AF$3)+AL28,0)</f>
        <v>1</v>
      </c>
      <c r="AG28" s="35">
        <f t="shared" si="54"/>
        <v>22</v>
      </c>
      <c r="AH28" s="35">
        <f t="shared" si="55"/>
        <v>37</v>
      </c>
      <c r="AJ28" s="108">
        <f>(500-Y28)/100 * (AL$18*AM$18)+AL$18</f>
        <v>-0.27400000000000002</v>
      </c>
      <c r="AK28" s="104" t="b">
        <f t="shared" si="45"/>
        <v>1</v>
      </c>
      <c r="AL28" s="104">
        <f t="shared" si="46"/>
        <v>0</v>
      </c>
      <c r="AM28" s="104">
        <f t="shared" si="47"/>
        <v>0.72599999999999998</v>
      </c>
      <c r="AN28">
        <f t="shared" si="48"/>
        <v>-0.27400000000000002</v>
      </c>
      <c r="AR28" s="108"/>
      <c r="AS28" s="108"/>
      <c r="AT28" s="108"/>
      <c r="AU28" s="108"/>
      <c r="AV28" s="108"/>
      <c r="AX28" s="108"/>
    </row>
    <row r="29" spans="2:50" x14ac:dyDescent="0.3">
      <c r="B29" s="123" t="s">
        <v>119</v>
      </c>
      <c r="C29" s="109" t="str">
        <f t="shared" ref="C29" si="104">C$10&amp;"."&amp;B29</f>
        <v>color.020</v>
      </c>
      <c r="D29" s="139" t="str">
        <f t="shared" ref="D29" si="105">SetIt(D29, F29, G29, H29, "#" &amp; _xlfn.CONCAT(F29,G29,H29))</f>
        <v/>
      </c>
      <c r="E29" s="105" t="s">
        <v>139</v>
      </c>
      <c r="F29" s="106" t="str">
        <f t="shared" ref="F29" si="106">IF(J29&lt;16,"0","")&amp;DEC2HEX(J29)</f>
        <v>00</v>
      </c>
      <c r="G29" s="106" t="str">
        <f t="shared" ref="G29" si="107">IF(K29&lt;16,"0","")&amp;DEC2HEX(K29)</f>
        <v>08</v>
      </c>
      <c r="H29" s="106" t="str">
        <f t="shared" ref="H29" si="108">IF(L29&lt;16,"0","")&amp;DEC2HEX(L29)</f>
        <v>07</v>
      </c>
      <c r="J29" s="35">
        <f t="shared" ref="J29" si="109">ROUND(J28*(P29*J$9)+O29,0)</f>
        <v>0</v>
      </c>
      <c r="K29" s="35">
        <f t="shared" ref="K29" si="110">ROUND(K28*P29+O29,0)</f>
        <v>8</v>
      </c>
      <c r="L29" s="35">
        <f t="shared" ref="L29" si="111">MIN(ROUND(L28*(P29*L$9)+O29,0), 255)</f>
        <v>7</v>
      </c>
      <c r="M29" s="120">
        <f t="shared" si="52"/>
        <v>-0.40000000000000013</v>
      </c>
      <c r="N29" s="120" t="b">
        <f t="shared" ref="N29" si="112">(M29&lt;0)</f>
        <v>1</v>
      </c>
      <c r="O29" s="120">
        <f t="shared" ref="O29" si="113">IF(N29,0,255*M29)</f>
        <v>0</v>
      </c>
      <c r="P29" s="120">
        <f t="shared" ref="P29" si="114">IF(N29,1+M29,1-M29)</f>
        <v>0.59999999999999987</v>
      </c>
      <c r="U29" s="107">
        <v>25</v>
      </c>
      <c r="W29" s="123" t="s">
        <v>120</v>
      </c>
      <c r="X29" s="109" t="str">
        <f t="shared" si="5"/>
        <v>color.040</v>
      </c>
      <c r="Y29" s="109">
        <v>40</v>
      </c>
      <c r="Z29" s="178" t="str">
        <f t="shared" si="57"/>
        <v/>
      </c>
      <c r="AA29" s="105" t="s">
        <v>178</v>
      </c>
      <c r="AB29" s="106" t="str">
        <f t="shared" si="103"/>
        <v>01</v>
      </c>
      <c r="AC29" s="106" t="str">
        <f t="shared" si="103"/>
        <v>10</v>
      </c>
      <c r="AD29" s="106" t="str">
        <f t="shared" si="103"/>
        <v>1B</v>
      </c>
      <c r="AF29" s="35">
        <f>ROUND(AF28*(AM29*AF$3)+AL29,0)</f>
        <v>1</v>
      </c>
      <c r="AG29" s="35">
        <f t="shared" si="54"/>
        <v>16</v>
      </c>
      <c r="AH29" s="35">
        <f t="shared" si="55"/>
        <v>27</v>
      </c>
      <c r="AJ29" s="108">
        <f t="shared" si="56"/>
        <v>-0.2792</v>
      </c>
      <c r="AK29" s="104" t="b">
        <f t="shared" si="45"/>
        <v>1</v>
      </c>
      <c r="AL29" s="104">
        <f t="shared" si="46"/>
        <v>0</v>
      </c>
      <c r="AM29" s="104">
        <f t="shared" si="47"/>
        <v>0.7208</v>
      </c>
      <c r="AN29">
        <f t="shared" si="48"/>
        <v>-0.2792</v>
      </c>
      <c r="AR29" s="108"/>
      <c r="AS29" s="108"/>
      <c r="AT29" s="108"/>
      <c r="AU29" s="108"/>
      <c r="AV29" s="108"/>
      <c r="AX29" s="108"/>
    </row>
    <row r="30" spans="2:50" x14ac:dyDescent="0.3">
      <c r="U30" s="107">
        <v>26</v>
      </c>
      <c r="W30" s="123" t="s">
        <v>118</v>
      </c>
      <c r="X30" s="109" t="str">
        <f t="shared" si="5"/>
        <v>color.030</v>
      </c>
      <c r="Y30" s="109">
        <v>30</v>
      </c>
      <c r="Z30" s="177" t="str">
        <f t="shared" ref="Z30:Z33" si="115">SetIt(Z30, AB30, AC30, AD30, "#" &amp; _xlfn.CONCAT(AB30,AC30,AD30))</f>
        <v/>
      </c>
      <c r="AA30" s="105" t="s">
        <v>177</v>
      </c>
      <c r="AB30" s="106" t="str">
        <f t="shared" ref="AB30:AB33" si="116">IF(AF30&lt;16,"0","")&amp;DEC2HEX(AF30)</f>
        <v>01</v>
      </c>
      <c r="AC30" s="106" t="str">
        <f t="shared" ref="AC30:AC33" si="117">IF(AG30&lt;16,"0","")&amp;DEC2HEX(AG30)</f>
        <v>0B</v>
      </c>
      <c r="AD30" s="106" t="str">
        <f t="shared" ref="AD30:AD33" si="118">IF(AH30&lt;16,"0","")&amp;DEC2HEX(AH30)</f>
        <v>13</v>
      </c>
      <c r="AF30" s="35">
        <f t="shared" ref="AF30:AF33" si="119">ROUND(AF29*(AM30*AF$3)+AL30,0)</f>
        <v>1</v>
      </c>
      <c r="AG30" s="35">
        <f t="shared" ref="AG30:AG33" si="120">ROUND(AG29*AM30+AL30,0)</f>
        <v>11</v>
      </c>
      <c r="AH30" s="35">
        <f t="shared" ref="AH30:AH33" si="121">MIN(ROUND(AH29*(AM30*AH$3)+AL30,0), 255)</f>
        <v>19</v>
      </c>
      <c r="AJ30" s="112">
        <f t="shared" ref="AJ30:AJ33" si="122">(500-Y30)/100 * (AL$18*AM$18)+AL$18</f>
        <v>-0.28440000000000004</v>
      </c>
      <c r="AK30" s="112" t="b">
        <f t="shared" ref="AK30:AK33" si="123">(AJ30&lt;0)</f>
        <v>1</v>
      </c>
      <c r="AL30" s="112">
        <f t="shared" ref="AL30:AL33" si="124">IF(AK30,0,255*AJ30)</f>
        <v>0</v>
      </c>
      <c r="AM30" s="112">
        <f t="shared" ref="AM30:AM33" si="125">IF(AK30,1+AJ30,1-AJ30)</f>
        <v>0.71560000000000001</v>
      </c>
      <c r="AN30">
        <f t="shared" ref="AN30:AN33" si="126">(500-Y30)/100 * (AL$18*AM$18)+AL$18</f>
        <v>-0.28440000000000004</v>
      </c>
    </row>
    <row r="31" spans="2:50" x14ac:dyDescent="0.3">
      <c r="D31" t="s">
        <v>116</v>
      </c>
      <c r="F31"/>
      <c r="H31"/>
      <c r="J31" s="114">
        <v>1</v>
      </c>
      <c r="L31" s="114">
        <v>1</v>
      </c>
      <c r="U31" s="107">
        <v>27</v>
      </c>
      <c r="W31" s="123" t="s">
        <v>119</v>
      </c>
      <c r="X31" s="109" t="str">
        <f t="shared" si="5"/>
        <v>color.020</v>
      </c>
      <c r="Y31" s="109">
        <v>20</v>
      </c>
      <c r="Z31" s="180" t="str">
        <f t="shared" si="115"/>
        <v/>
      </c>
      <c r="AA31" s="105" t="s">
        <v>180</v>
      </c>
      <c r="AB31" s="106" t="str">
        <f t="shared" si="116"/>
        <v>01</v>
      </c>
      <c r="AC31" s="106" t="str">
        <f t="shared" si="117"/>
        <v>08</v>
      </c>
      <c r="AD31" s="106" t="str">
        <f t="shared" si="118"/>
        <v>0D</v>
      </c>
      <c r="AF31" s="35">
        <f t="shared" si="119"/>
        <v>1</v>
      </c>
      <c r="AG31" s="35">
        <f t="shared" si="120"/>
        <v>8</v>
      </c>
      <c r="AH31" s="35">
        <f t="shared" si="121"/>
        <v>13</v>
      </c>
      <c r="AJ31" s="112">
        <f t="shared" si="122"/>
        <v>-0.28960000000000002</v>
      </c>
      <c r="AK31" s="112" t="b">
        <f t="shared" si="123"/>
        <v>1</v>
      </c>
      <c r="AL31" s="112">
        <f t="shared" si="124"/>
        <v>0</v>
      </c>
      <c r="AM31" s="112">
        <f t="shared" si="125"/>
        <v>0.71039999999999992</v>
      </c>
      <c r="AN31">
        <f t="shared" si="126"/>
        <v>-0.28960000000000002</v>
      </c>
    </row>
    <row r="32" spans="2:50" ht="15" thickBot="1" x14ac:dyDescent="0.35">
      <c r="F32" s="13" t="s">
        <v>0</v>
      </c>
      <c r="G32" s="13" t="s">
        <v>1</v>
      </c>
      <c r="H32" s="13" t="s">
        <v>2</v>
      </c>
      <c r="J32" s="13" t="s">
        <v>0</v>
      </c>
      <c r="K32" s="13" t="s">
        <v>1</v>
      </c>
      <c r="L32" s="13" t="s">
        <v>2</v>
      </c>
      <c r="N32" t="s">
        <v>3</v>
      </c>
      <c r="O32" t="s">
        <v>6</v>
      </c>
      <c r="P32" t="s">
        <v>4</v>
      </c>
      <c r="Q32" t="s">
        <v>5</v>
      </c>
      <c r="U32" s="107">
        <v>28</v>
      </c>
      <c r="W32" s="123" t="s">
        <v>114</v>
      </c>
      <c r="X32" s="109" t="str">
        <f t="shared" si="5"/>
        <v>color.010</v>
      </c>
      <c r="Y32" s="109">
        <v>10</v>
      </c>
      <c r="Z32" s="157" t="str">
        <f t="shared" si="115"/>
        <v/>
      </c>
      <c r="AA32" s="105" t="s">
        <v>157</v>
      </c>
      <c r="AB32" s="106" t="str">
        <f t="shared" si="116"/>
        <v>01</v>
      </c>
      <c r="AC32" s="106" t="str">
        <f t="shared" si="117"/>
        <v>06</v>
      </c>
      <c r="AD32" s="106" t="str">
        <f t="shared" si="118"/>
        <v>09</v>
      </c>
      <c r="AF32" s="35">
        <f t="shared" si="119"/>
        <v>1</v>
      </c>
      <c r="AG32" s="35">
        <f t="shared" si="120"/>
        <v>6</v>
      </c>
      <c r="AH32" s="35">
        <f t="shared" si="121"/>
        <v>9</v>
      </c>
      <c r="AJ32" s="112">
        <f t="shared" si="122"/>
        <v>-0.29480000000000001</v>
      </c>
      <c r="AK32" s="112" t="b">
        <f t="shared" si="123"/>
        <v>1</v>
      </c>
      <c r="AL32" s="112">
        <f t="shared" si="124"/>
        <v>0</v>
      </c>
      <c r="AM32" s="112">
        <f t="shared" si="125"/>
        <v>0.70520000000000005</v>
      </c>
      <c r="AN32">
        <f t="shared" si="126"/>
        <v>-0.29480000000000001</v>
      </c>
    </row>
    <row r="33" spans="2:40" ht="15.6" thickTop="1" thickBot="1" x14ac:dyDescent="0.35">
      <c r="C33" s="110">
        <v>450</v>
      </c>
      <c r="D33" s="190" t="str">
        <f>SetIt(D33, F33, G33, H33, "#" &amp; _xlfn.CONCAT(F33,G33,H33))</f>
        <v/>
      </c>
      <c r="E33" s="115" t="s">
        <v>143</v>
      </c>
      <c r="F33" s="116" t="str">
        <f>IF(J33&lt;16,"0","")&amp;DEC2HEX(J33)</f>
        <v>00</v>
      </c>
      <c r="G33" s="116" t="str">
        <f>IF(K33&lt;16,"0","")&amp;DEC2HEX(K33)</f>
        <v>B4</v>
      </c>
      <c r="H33" s="116" t="str">
        <f t="shared" ref="H33" si="127">IF(L33&lt;16,"0","")&amp;DEC2HEX(L33)</f>
        <v>A0</v>
      </c>
      <c r="I33" s="117"/>
      <c r="J33" s="118">
        <v>0</v>
      </c>
      <c r="K33" s="118">
        <v>180</v>
      </c>
      <c r="L33" s="118">
        <v>160</v>
      </c>
      <c r="M33" s="117"/>
      <c r="N33" s="119">
        <v>5.5E-2</v>
      </c>
      <c r="O33" s="119">
        <v>1.05</v>
      </c>
      <c r="P33" s="119">
        <v>-0.05</v>
      </c>
      <c r="Q33" s="119">
        <v>0.6</v>
      </c>
      <c r="U33" s="107">
        <v>29</v>
      </c>
      <c r="W33" s="123" t="s">
        <v>137</v>
      </c>
      <c r="X33" s="109" t="str">
        <f t="shared" si="5"/>
        <v>color.005</v>
      </c>
      <c r="Y33" s="109">
        <v>5</v>
      </c>
      <c r="Z33" s="158" t="str">
        <f t="shared" si="115"/>
        <v/>
      </c>
      <c r="AA33" s="105" t="s">
        <v>158</v>
      </c>
      <c r="AB33" s="106" t="str">
        <f t="shared" si="116"/>
        <v>01</v>
      </c>
      <c r="AC33" s="106" t="str">
        <f t="shared" si="117"/>
        <v>04</v>
      </c>
      <c r="AD33" s="106" t="str">
        <f t="shared" si="118"/>
        <v>06</v>
      </c>
      <c r="AF33" s="35">
        <f t="shared" si="119"/>
        <v>1</v>
      </c>
      <c r="AG33" s="35">
        <f t="shared" si="120"/>
        <v>4</v>
      </c>
      <c r="AH33" s="35">
        <f t="shared" si="121"/>
        <v>6</v>
      </c>
      <c r="AJ33" s="112">
        <f t="shared" si="122"/>
        <v>-0.2974</v>
      </c>
      <c r="AK33" s="112" t="b">
        <f t="shared" si="123"/>
        <v>1</v>
      </c>
      <c r="AL33" s="112">
        <f t="shared" si="124"/>
        <v>0</v>
      </c>
      <c r="AM33" s="112">
        <f t="shared" si="125"/>
        <v>0.7026</v>
      </c>
      <c r="AN33">
        <f t="shared" si="126"/>
        <v>-0.2974</v>
      </c>
    </row>
    <row r="34" spans="2:40" ht="15" thickTop="1" x14ac:dyDescent="0.3">
      <c r="X34" s="107"/>
      <c r="AH34" s="35"/>
      <c r="AJ34" s="114"/>
      <c r="AK34" s="114"/>
      <c r="AL34" s="114"/>
      <c r="AM34" s="114"/>
    </row>
    <row r="35" spans="2:40" x14ac:dyDescent="0.3">
      <c r="X35" s="107"/>
      <c r="AH35" s="35"/>
      <c r="AJ35" s="114"/>
      <c r="AK35" s="114"/>
      <c r="AL35" s="114"/>
      <c r="AM35" s="114"/>
    </row>
    <row r="36" spans="2:40" x14ac:dyDescent="0.3">
      <c r="X36" s="107"/>
      <c r="AH36" s="35"/>
      <c r="AJ36" s="114"/>
      <c r="AK36" s="114"/>
      <c r="AL36" s="114"/>
      <c r="AM36" s="114"/>
    </row>
    <row r="37" spans="2:40" x14ac:dyDescent="0.3">
      <c r="X37" s="107"/>
      <c r="AH37" s="35"/>
      <c r="AJ37" s="114"/>
      <c r="AK37" s="114"/>
      <c r="AL37" s="114"/>
      <c r="AM37" s="114"/>
    </row>
    <row r="38" spans="2:40" x14ac:dyDescent="0.3">
      <c r="X38" s="107"/>
      <c r="AH38" s="35"/>
      <c r="AJ38" s="114"/>
      <c r="AK38" s="114"/>
      <c r="AL38" s="114"/>
      <c r="AM38" s="114"/>
    </row>
    <row r="39" spans="2:40" x14ac:dyDescent="0.3">
      <c r="X39" s="107"/>
      <c r="AH39" s="35"/>
      <c r="AJ39" s="114"/>
      <c r="AK39" s="114"/>
      <c r="AL39" s="114"/>
      <c r="AM39" s="114"/>
    </row>
    <row r="40" spans="2:40" x14ac:dyDescent="0.3">
      <c r="X40" s="107"/>
      <c r="AH40" s="35"/>
      <c r="AJ40" s="114"/>
      <c r="AK40" s="114"/>
      <c r="AL40" s="114"/>
      <c r="AM40" s="114"/>
    </row>
    <row r="41" spans="2:40" x14ac:dyDescent="0.3">
      <c r="X41" s="107"/>
      <c r="AH41" s="35"/>
      <c r="AJ41" s="114"/>
      <c r="AK41" s="114"/>
      <c r="AL41" s="114"/>
      <c r="AM41" s="114"/>
    </row>
    <row r="42" spans="2:40" x14ac:dyDescent="0.3">
      <c r="X42" s="107"/>
      <c r="AH42" s="35"/>
      <c r="AJ42" s="114"/>
      <c r="AK42" s="114"/>
      <c r="AL42" s="114"/>
      <c r="AM42" s="114"/>
    </row>
    <row r="43" spans="2:40" x14ac:dyDescent="0.3">
      <c r="B43" s="32" t="s">
        <v>37</v>
      </c>
      <c r="L43" s="33"/>
    </row>
    <row r="44" spans="2:40" x14ac:dyDescent="0.3">
      <c r="B44" s="32" t="s">
        <v>38</v>
      </c>
      <c r="L44" s="33"/>
    </row>
    <row r="45" spans="2:40" x14ac:dyDescent="0.3">
      <c r="F45" s="188" t="s">
        <v>121</v>
      </c>
      <c r="G45" s="189"/>
      <c r="H45" s="188" t="s">
        <v>123</v>
      </c>
      <c r="I45" s="189"/>
      <c r="J45" s="188" t="s">
        <v>122</v>
      </c>
      <c r="K45" s="189"/>
    </row>
    <row r="46" spans="2:40" x14ac:dyDescent="0.3">
      <c r="B46" t="s">
        <v>80</v>
      </c>
      <c r="C46" s="49"/>
      <c r="D46" s="34" t="s">
        <v>52</v>
      </c>
      <c r="E46" s="50">
        <v>0.45</v>
      </c>
      <c r="F46" s="187" t="b">
        <f>(E46&lt;0)</f>
        <v>0</v>
      </c>
      <c r="G46" s="187"/>
      <c r="H46" s="187">
        <f>IF(F46,0,255*E46)</f>
        <v>114.75</v>
      </c>
      <c r="I46" s="187"/>
      <c r="J46" s="187">
        <f>IF(F46,1+E46,1-E46)</f>
        <v>0.55000000000000004</v>
      </c>
      <c r="K46" s="187"/>
      <c r="N46" s="49"/>
      <c r="O46" s="34" t="s">
        <v>52</v>
      </c>
      <c r="P46" s="50">
        <v>0.45</v>
      </c>
      <c r="Q46" s="187" t="b">
        <f>(P46&lt;0)</f>
        <v>0</v>
      </c>
      <c r="R46" s="187"/>
      <c r="S46" s="187">
        <f>IF(Q46,0,255*P46)</f>
        <v>114.75</v>
      </c>
      <c r="T46" s="187"/>
      <c r="U46" s="187">
        <f>IF(Q46,1+P46,1-P46)</f>
        <v>0.55000000000000004</v>
      </c>
      <c r="V46" s="187"/>
    </row>
    <row r="47" spans="2:40" x14ac:dyDescent="0.3">
      <c r="B47" t="s">
        <v>93</v>
      </c>
      <c r="C47" s="51"/>
      <c r="D47" s="34" t="s">
        <v>53</v>
      </c>
      <c r="E47" s="50">
        <v>-0.14000000000000001</v>
      </c>
      <c r="F47" s="187" t="b">
        <f>(E47&lt;0)</f>
        <v>1</v>
      </c>
      <c r="G47" s="187"/>
      <c r="H47" s="187">
        <f>IF(F47,0,255*E47)</f>
        <v>0</v>
      </c>
      <c r="I47" s="187"/>
      <c r="J47" s="187">
        <f>IF(F47,1+E47,1-E47)</f>
        <v>0.86</v>
      </c>
      <c r="K47" s="187"/>
      <c r="N47" s="51"/>
      <c r="O47" s="34" t="s">
        <v>53</v>
      </c>
      <c r="P47" s="50">
        <v>-0.14000000000000001</v>
      </c>
      <c r="Q47" s="187" t="b">
        <f>(P47&lt;0)</f>
        <v>1</v>
      </c>
      <c r="R47" s="187"/>
      <c r="S47" s="187">
        <f>IF(Q47,0,255*P47)</f>
        <v>0</v>
      </c>
      <c r="T47" s="187"/>
      <c r="U47" s="187">
        <f>IF(Q47,1+P47,1-P47)</f>
        <v>0.86</v>
      </c>
      <c r="V47" s="187"/>
    </row>
    <row r="48" spans="2:40" x14ac:dyDescent="0.3">
      <c r="C48" s="14">
        <v>950</v>
      </c>
      <c r="D48" s="125" t="str">
        <f t="shared" ref="D48:D60" si="128">SetIt(D48, F48, H48, J48, "#" &amp; _xlfn.CONCAT(F48,H48,J48))</f>
        <v/>
      </c>
      <c r="E48" t="s">
        <v>124</v>
      </c>
      <c r="F48" s="36" t="str">
        <f t="shared" ref="F48:F55" si="129">IF(G48&lt;16,"0","")&amp;DEC2HEX(G48)</f>
        <v>FD</v>
      </c>
      <c r="G48" s="35">
        <f>ROUND(G49*J46+H46,0)</f>
        <v>253</v>
      </c>
      <c r="H48" s="36" t="str">
        <f t="shared" ref="H48:H55" si="130">IF(I48&lt;16,"0","")&amp;DEC2HEX(I48)</f>
        <v>FF</v>
      </c>
      <c r="I48" s="35">
        <f>ROUND(I49*J46+H46,0)</f>
        <v>255</v>
      </c>
      <c r="J48" s="36" t="str">
        <f t="shared" ref="J48:J55" si="131">IF(K48&lt;16,"0","")&amp;DEC2HEX(K48)</f>
        <v>FA</v>
      </c>
      <c r="K48" s="35">
        <f>ROUND(K49*J46+H46,0)</f>
        <v>250</v>
      </c>
      <c r="L48" s="35"/>
      <c r="N48" s="14">
        <v>950</v>
      </c>
      <c r="O48" s="47" t="str">
        <f t="shared" ref="O48:O60" si="132">SetIt(O48, Q48, S48, U48, "#" &amp; _xlfn.CONCAT(Q48,S48,U48))</f>
        <v/>
      </c>
      <c r="P48" t="s">
        <v>50</v>
      </c>
      <c r="Q48" s="36" t="str">
        <f t="shared" ref="Q48:Q60" si="133">IF(R48&lt;16,"0","")&amp;DEC2HEX(R48)</f>
        <v>F8</v>
      </c>
      <c r="R48" s="35">
        <f>ROUND(R49*U46+S46,0)</f>
        <v>248</v>
      </c>
      <c r="S48" s="36" t="str">
        <f t="shared" ref="S48:S60" si="134">IF(T48&lt;16,"0","")&amp;DEC2HEX(T48)</f>
        <v>F8</v>
      </c>
      <c r="T48" s="35">
        <f>ROUND(T49*U46+S46,0)</f>
        <v>248</v>
      </c>
      <c r="U48" s="36" t="str">
        <f t="shared" ref="U48:U60" si="135">IF(V48&lt;16,"0","")&amp;DEC2HEX(V48)</f>
        <v>FF</v>
      </c>
      <c r="V48" s="35">
        <f>ROUND(V49*U46+S46,0)</f>
        <v>255</v>
      </c>
    </row>
    <row r="49" spans="2:40" x14ac:dyDescent="0.3">
      <c r="C49" s="14">
        <v>900</v>
      </c>
      <c r="D49" s="126" t="str">
        <f t="shared" si="128"/>
        <v/>
      </c>
      <c r="E49" t="s">
        <v>125</v>
      </c>
      <c r="F49" s="36" t="str">
        <f t="shared" si="129"/>
        <v>FC</v>
      </c>
      <c r="G49" s="35">
        <f>ROUND(G50*J46+H46,0)</f>
        <v>252</v>
      </c>
      <c r="H49" s="36" t="str">
        <f t="shared" si="130"/>
        <v>FF</v>
      </c>
      <c r="I49" s="35">
        <f>ROUND(I50*J46+H46,0)</f>
        <v>255</v>
      </c>
      <c r="J49" s="36" t="str">
        <f t="shared" si="131"/>
        <v>F6</v>
      </c>
      <c r="K49" s="35">
        <f>ROUND(K50*J46+H46,0)</f>
        <v>246</v>
      </c>
      <c r="L49" s="35"/>
      <c r="N49" s="14">
        <v>900</v>
      </c>
      <c r="O49" s="48" t="str">
        <f t="shared" si="132"/>
        <v/>
      </c>
      <c r="P49" t="s">
        <v>51</v>
      </c>
      <c r="Q49" s="36" t="str">
        <f t="shared" si="133"/>
        <v>F2</v>
      </c>
      <c r="R49" s="35">
        <f>ROUND(R50*U46+S46,0)</f>
        <v>242</v>
      </c>
      <c r="S49" s="36" t="str">
        <f t="shared" si="134"/>
        <v>F2</v>
      </c>
      <c r="T49" s="35">
        <f>ROUND(T50*U46+S46,0)</f>
        <v>242</v>
      </c>
      <c r="U49" s="36" t="str">
        <f t="shared" si="135"/>
        <v>FF</v>
      </c>
      <c r="V49" s="35">
        <f>ROUND(V50*U46+S46,0)</f>
        <v>255</v>
      </c>
    </row>
    <row r="50" spans="2:40" x14ac:dyDescent="0.3">
      <c r="C50" s="14">
        <v>800</v>
      </c>
      <c r="D50" s="134" t="str">
        <f t="shared" si="128"/>
        <v/>
      </c>
      <c r="E50" t="s">
        <v>133</v>
      </c>
      <c r="F50" s="36" t="str">
        <f t="shared" si="129"/>
        <v>F9</v>
      </c>
      <c r="G50" s="35">
        <f>ROUND(G51*J46+H46,0)</f>
        <v>249</v>
      </c>
      <c r="H50" s="36" t="str">
        <f t="shared" si="130"/>
        <v>FF</v>
      </c>
      <c r="I50" s="35">
        <f>ROUND(I51*J46+H46,0)</f>
        <v>255</v>
      </c>
      <c r="J50" s="36" t="str">
        <f t="shared" si="131"/>
        <v>EF</v>
      </c>
      <c r="K50" s="35">
        <f>ROUND(K51*J46+H46,0)</f>
        <v>239</v>
      </c>
      <c r="L50" s="35"/>
      <c r="N50" s="14">
        <v>800</v>
      </c>
      <c r="O50" s="45" t="str">
        <f t="shared" si="132"/>
        <v/>
      </c>
      <c r="P50" t="s">
        <v>48</v>
      </c>
      <c r="Q50" s="36" t="str">
        <f t="shared" si="133"/>
        <v>E8</v>
      </c>
      <c r="R50" s="35">
        <f>ROUND(R51*U46+S46,0)</f>
        <v>232</v>
      </c>
      <c r="S50" s="36" t="str">
        <f t="shared" si="134"/>
        <v>E8</v>
      </c>
      <c r="T50" s="35">
        <f>ROUND(T51*U46+S46,0)</f>
        <v>232</v>
      </c>
      <c r="U50" s="36" t="str">
        <f t="shared" si="135"/>
        <v>FF</v>
      </c>
      <c r="V50" s="35">
        <f>ROUND(V51*U46+S46,0)</f>
        <v>255</v>
      </c>
    </row>
    <row r="51" spans="2:40" x14ac:dyDescent="0.3">
      <c r="C51" s="14">
        <v>700</v>
      </c>
      <c r="D51" s="131" t="str">
        <f t="shared" si="128"/>
        <v/>
      </c>
      <c r="E51" t="s">
        <v>130</v>
      </c>
      <c r="F51" s="36" t="str">
        <f t="shared" si="129"/>
        <v>F4</v>
      </c>
      <c r="G51" s="35">
        <f>ROUND(G52*J46+H46,0)</f>
        <v>244</v>
      </c>
      <c r="H51" s="36" t="str">
        <f t="shared" si="130"/>
        <v>FF</v>
      </c>
      <c r="I51" s="35">
        <f>ROUND(I52*J46+H46,0)</f>
        <v>255</v>
      </c>
      <c r="J51" s="36" t="str">
        <f t="shared" si="131"/>
        <v>E2</v>
      </c>
      <c r="K51" s="35">
        <f>ROUND(K52*J46+H46,0)</f>
        <v>226</v>
      </c>
      <c r="L51" s="35"/>
      <c r="N51" s="14">
        <v>700</v>
      </c>
      <c r="O51" s="42" t="str">
        <f t="shared" si="132"/>
        <v/>
      </c>
      <c r="P51" t="s">
        <v>45</v>
      </c>
      <c r="Q51" s="36" t="str">
        <f t="shared" si="133"/>
        <v>D5</v>
      </c>
      <c r="R51" s="35">
        <f>ROUND(R52*U46+S46,0)</f>
        <v>213</v>
      </c>
      <c r="S51" s="36" t="str">
        <f t="shared" si="134"/>
        <v>D5</v>
      </c>
      <c r="T51" s="35">
        <f>ROUND(T52*U46+S46,0)</f>
        <v>213</v>
      </c>
      <c r="U51" s="36" t="str">
        <f t="shared" si="135"/>
        <v>FF</v>
      </c>
      <c r="V51" s="35">
        <f>ROUND(V52*U46+S46,0)</f>
        <v>255</v>
      </c>
    </row>
    <row r="52" spans="2:40" x14ac:dyDescent="0.3">
      <c r="C52" s="14">
        <v>600</v>
      </c>
      <c r="D52" s="128" t="str">
        <f t="shared" si="128"/>
        <v/>
      </c>
      <c r="E52" t="s">
        <v>127</v>
      </c>
      <c r="F52" s="36" t="str">
        <f t="shared" si="129"/>
        <v>EB</v>
      </c>
      <c r="G52" s="35">
        <f>ROUND(G53*J46+H46,0)</f>
        <v>235</v>
      </c>
      <c r="H52" s="36" t="str">
        <f t="shared" si="130"/>
        <v>FF</v>
      </c>
      <c r="I52" s="35">
        <f>ROUND(I53*J46+H46,0)</f>
        <v>255</v>
      </c>
      <c r="J52" s="36" t="str">
        <f t="shared" si="131"/>
        <v>CA</v>
      </c>
      <c r="K52" s="35">
        <f>ROUND(K53*J46+H46,0)</f>
        <v>202</v>
      </c>
      <c r="L52" s="35"/>
      <c r="N52" s="14">
        <v>600</v>
      </c>
      <c r="O52" s="39" t="str">
        <f t="shared" si="132"/>
        <v/>
      </c>
      <c r="P52" t="s">
        <v>42</v>
      </c>
      <c r="Q52" s="36" t="str">
        <f t="shared" si="133"/>
        <v>B2</v>
      </c>
      <c r="R52" s="35">
        <f>ROUND(R53*U46+S46,0)</f>
        <v>178</v>
      </c>
      <c r="S52" s="36" t="str">
        <f t="shared" si="134"/>
        <v>B2</v>
      </c>
      <c r="T52" s="35">
        <f>ROUND(T53*U46+S46,0)</f>
        <v>178</v>
      </c>
      <c r="U52" s="36" t="str">
        <f t="shared" si="135"/>
        <v>FF</v>
      </c>
      <c r="V52" s="35">
        <f>ROUND(V53*U46+S46,0)</f>
        <v>255</v>
      </c>
    </row>
    <row r="53" spans="2:40" ht="15" thickBot="1" x14ac:dyDescent="0.35">
      <c r="B53" t="s">
        <v>105</v>
      </c>
      <c r="C53" s="14">
        <v>500</v>
      </c>
      <c r="D53" s="130" t="str">
        <f t="shared" si="128"/>
        <v/>
      </c>
      <c r="E53" t="s">
        <v>129</v>
      </c>
      <c r="F53" s="36" t="str">
        <f t="shared" si="129"/>
        <v>DB</v>
      </c>
      <c r="G53" s="35">
        <f>ROUND(G54*J46+H46,0)</f>
        <v>219</v>
      </c>
      <c r="H53" s="36" t="str">
        <f t="shared" si="130"/>
        <v>FF</v>
      </c>
      <c r="I53" s="35">
        <f>ROUND(I54*J46+H46,0)</f>
        <v>255</v>
      </c>
      <c r="J53" s="36" t="str">
        <f t="shared" si="131"/>
        <v>9F</v>
      </c>
      <c r="K53" s="35">
        <f>ROUND(K54*J46+H46,0)</f>
        <v>159</v>
      </c>
      <c r="L53" s="35"/>
      <c r="N53" s="14">
        <v>500</v>
      </c>
      <c r="O53" s="37" t="str">
        <f t="shared" si="132"/>
        <v/>
      </c>
      <c r="P53" t="s">
        <v>40</v>
      </c>
      <c r="Q53" s="36" t="str">
        <f t="shared" si="133"/>
        <v>73</v>
      </c>
      <c r="R53" s="35">
        <f>ROUND(R54*U46+S46,0)</f>
        <v>115</v>
      </c>
      <c r="S53" s="36" t="str">
        <f t="shared" si="134"/>
        <v>73</v>
      </c>
      <c r="T53" s="35">
        <f>ROUND(T54*U46+S46,0)</f>
        <v>115</v>
      </c>
      <c r="U53" s="36" t="str">
        <f t="shared" si="135"/>
        <v>FF</v>
      </c>
      <c r="V53" s="35">
        <f>ROUND(V54*U46+S46,0)</f>
        <v>255</v>
      </c>
      <c r="W53" s="35"/>
    </row>
    <row r="54" spans="2:40" ht="15.6" thickTop="1" thickBot="1" x14ac:dyDescent="0.35">
      <c r="B54" s="92" t="s">
        <v>39</v>
      </c>
      <c r="C54" s="90">
        <v>450</v>
      </c>
      <c r="D54" s="127" t="str">
        <f t="shared" si="128"/>
        <v/>
      </c>
      <c r="E54" s="92" t="s">
        <v>126</v>
      </c>
      <c r="F54" s="93" t="str">
        <f t="shared" si="129"/>
        <v>BE</v>
      </c>
      <c r="G54" s="94">
        <v>190</v>
      </c>
      <c r="H54" s="93" t="str">
        <f t="shared" si="130"/>
        <v>FF</v>
      </c>
      <c r="I54" s="94">
        <v>255</v>
      </c>
      <c r="J54" s="93" t="str">
        <f t="shared" si="131"/>
        <v>50</v>
      </c>
      <c r="K54" s="94">
        <v>80</v>
      </c>
      <c r="L54" s="94"/>
      <c r="M54" s="92"/>
      <c r="N54" s="90">
        <v>450</v>
      </c>
      <c r="O54" s="91" t="str">
        <f t="shared" si="132"/>
        <v/>
      </c>
      <c r="P54" s="92" t="s">
        <v>19</v>
      </c>
      <c r="Q54" s="93" t="str">
        <f t="shared" si="133"/>
        <v>00</v>
      </c>
      <c r="R54" s="94">
        <v>0</v>
      </c>
      <c r="S54" s="93" t="str">
        <f t="shared" si="134"/>
        <v>00</v>
      </c>
      <c r="T54" s="94">
        <v>0</v>
      </c>
      <c r="U54" s="93" t="str">
        <f t="shared" si="135"/>
        <v>FF</v>
      </c>
      <c r="V54" s="94">
        <v>255</v>
      </c>
      <c r="W54" s="94"/>
      <c r="X54" s="92"/>
    </row>
    <row r="55" spans="2:40" ht="15" thickTop="1" x14ac:dyDescent="0.3">
      <c r="B55" t="s">
        <v>106</v>
      </c>
      <c r="C55" s="14">
        <v>400</v>
      </c>
      <c r="D55" s="129" t="str">
        <f t="shared" si="128"/>
        <v/>
      </c>
      <c r="E55" t="s">
        <v>128</v>
      </c>
      <c r="F55" s="36" t="str">
        <f t="shared" si="129"/>
        <v>A3</v>
      </c>
      <c r="G55" s="35">
        <f>ROUND(G54*J47+H47,0)</f>
        <v>163</v>
      </c>
      <c r="H55" s="36" t="str">
        <f t="shared" si="130"/>
        <v>DB</v>
      </c>
      <c r="I55" s="35">
        <f>ROUND(I54*J47+H47,0)</f>
        <v>219</v>
      </c>
      <c r="J55" s="36" t="str">
        <f t="shared" si="131"/>
        <v>45</v>
      </c>
      <c r="K55" s="35">
        <f>ROUND(K54*J47+H47,0)</f>
        <v>69</v>
      </c>
      <c r="L55" s="35"/>
      <c r="N55" s="14">
        <v>400</v>
      </c>
      <c r="O55" s="38" t="str">
        <f t="shared" si="132"/>
        <v/>
      </c>
      <c r="P55" t="s">
        <v>41</v>
      </c>
      <c r="Q55" s="36" t="str">
        <f t="shared" si="133"/>
        <v>00</v>
      </c>
      <c r="R55" s="35">
        <f>ROUND(R54*U47+S47,0)</f>
        <v>0</v>
      </c>
      <c r="S55" s="36" t="str">
        <f t="shared" si="134"/>
        <v>00</v>
      </c>
      <c r="T55" s="35">
        <f>ROUND(T54*U47+S47,0)</f>
        <v>0</v>
      </c>
      <c r="U55" s="36" t="str">
        <f t="shared" si="135"/>
        <v>DB</v>
      </c>
      <c r="V55" s="35">
        <f>ROUND(V54*U47+S47,0)</f>
        <v>219</v>
      </c>
      <c r="W55" s="35"/>
    </row>
    <row r="56" spans="2:40" x14ac:dyDescent="0.3">
      <c r="C56" s="14">
        <v>300</v>
      </c>
      <c r="D56" s="132" t="str">
        <f t="shared" si="128"/>
        <v/>
      </c>
      <c r="E56" t="s">
        <v>131</v>
      </c>
      <c r="F56" s="36" t="str">
        <f>IF(G56&lt;16,"0","")&amp;DEC2HEX(G56)</f>
        <v>8C</v>
      </c>
      <c r="G56" s="35">
        <f>ROUND(G55*J47+H47,0)</f>
        <v>140</v>
      </c>
      <c r="H56" s="36" t="str">
        <f>IF(I56&lt;16,"0","")&amp;DEC2HEX(I56)</f>
        <v>BC</v>
      </c>
      <c r="I56" s="35">
        <f>ROUND(I55*J47+H47,0)</f>
        <v>188</v>
      </c>
      <c r="J56" s="36" t="str">
        <f>IF(K56&lt;16,"0","")&amp;DEC2HEX(K56)</f>
        <v>3B</v>
      </c>
      <c r="K56" s="35">
        <f>ROUND(K55*J47+H47,0)</f>
        <v>59</v>
      </c>
      <c r="L56" s="35"/>
      <c r="N56" s="14">
        <v>300</v>
      </c>
      <c r="O56" s="40" t="str">
        <f t="shared" si="132"/>
        <v/>
      </c>
      <c r="P56" t="s">
        <v>43</v>
      </c>
      <c r="Q56" s="36" t="str">
        <f t="shared" si="133"/>
        <v>00</v>
      </c>
      <c r="R56" s="35">
        <f>ROUND(R55*U47+S47,0)</f>
        <v>0</v>
      </c>
      <c r="S56" s="36" t="str">
        <f t="shared" si="134"/>
        <v>00</v>
      </c>
      <c r="T56" s="35">
        <f>ROUND(T55*U47+S47,0)</f>
        <v>0</v>
      </c>
      <c r="U56" s="36" t="str">
        <f t="shared" si="135"/>
        <v>BC</v>
      </c>
      <c r="V56" s="35">
        <f>ROUND(V55*U47+S47,0)</f>
        <v>188</v>
      </c>
    </row>
    <row r="57" spans="2:40" x14ac:dyDescent="0.3">
      <c r="C57" s="14">
        <v>200</v>
      </c>
      <c r="D57" s="133" t="str">
        <f t="shared" si="128"/>
        <v/>
      </c>
      <c r="E57" t="s">
        <v>132</v>
      </c>
      <c r="F57" s="36" t="str">
        <f>IF(G57&lt;16,"0","")&amp;DEC2HEX(G57)</f>
        <v>78</v>
      </c>
      <c r="G57" s="35">
        <f>ROUND(G56*J47+H47,0)</f>
        <v>120</v>
      </c>
      <c r="H57" s="36" t="str">
        <f>IF(I57&lt;16,"0","")&amp;DEC2HEX(I57)</f>
        <v>A2</v>
      </c>
      <c r="I57" s="35">
        <f>ROUND(I56*J47+H47,0)</f>
        <v>162</v>
      </c>
      <c r="J57" s="36" t="str">
        <f>IF(K57&lt;16,"0","")&amp;DEC2HEX(K57)</f>
        <v>33</v>
      </c>
      <c r="K57" s="35">
        <f>ROUND(K56*J47+H47,0)</f>
        <v>51</v>
      </c>
      <c r="L57" s="35"/>
      <c r="N57" s="14">
        <v>200</v>
      </c>
      <c r="O57" s="41" t="str">
        <f t="shared" si="132"/>
        <v/>
      </c>
      <c r="P57" t="s">
        <v>44</v>
      </c>
      <c r="Q57" s="36" t="str">
        <f t="shared" si="133"/>
        <v>00</v>
      </c>
      <c r="R57" s="35">
        <f>ROUND(R56*U47+S47,0)</f>
        <v>0</v>
      </c>
      <c r="S57" s="36" t="str">
        <f t="shared" si="134"/>
        <v>00</v>
      </c>
      <c r="T57" s="35">
        <f>ROUND(T56*U47+S47,0)</f>
        <v>0</v>
      </c>
      <c r="U57" s="36" t="str">
        <f t="shared" si="135"/>
        <v>A2</v>
      </c>
      <c r="V57" s="35">
        <f>ROUND(V56*U47+S47,0)</f>
        <v>162</v>
      </c>
    </row>
    <row r="58" spans="2:40" x14ac:dyDescent="0.3">
      <c r="C58" s="14">
        <v>100</v>
      </c>
      <c r="D58" s="135" t="str">
        <f t="shared" si="128"/>
        <v/>
      </c>
      <c r="E58" t="s">
        <v>134</v>
      </c>
      <c r="F58" s="36" t="str">
        <f>IF(G58&lt;16,"0","")&amp;DEC2HEX(G58)</f>
        <v>67</v>
      </c>
      <c r="G58" s="35">
        <f>ROUND(G57*J47+H47,0)</f>
        <v>103</v>
      </c>
      <c r="H58" s="36" t="str">
        <f>IF(I58&lt;16,"0","")&amp;DEC2HEX(I58)</f>
        <v>8B</v>
      </c>
      <c r="I58" s="35">
        <f>ROUND(I57*J47+H47,0)</f>
        <v>139</v>
      </c>
      <c r="J58" s="36" t="str">
        <f>IF(K58&lt;16,"0","")&amp;DEC2HEX(K58)</f>
        <v>2C</v>
      </c>
      <c r="K58" s="35">
        <f>ROUND(K57*J47+H47,0)</f>
        <v>44</v>
      </c>
      <c r="L58" s="35"/>
      <c r="N58" s="14">
        <v>100</v>
      </c>
      <c r="O58" s="43" t="str">
        <f t="shared" si="132"/>
        <v/>
      </c>
      <c r="P58" t="s">
        <v>46</v>
      </c>
      <c r="Q58" s="36" t="str">
        <f t="shared" si="133"/>
        <v>00</v>
      </c>
      <c r="R58" s="35">
        <f>ROUND(R57*U47+S47,0)</f>
        <v>0</v>
      </c>
      <c r="S58" s="36" t="str">
        <f t="shared" si="134"/>
        <v>00</v>
      </c>
      <c r="T58" s="35">
        <f>ROUND(T57*U47+S47,0)</f>
        <v>0</v>
      </c>
      <c r="U58" s="36" t="str">
        <f t="shared" si="135"/>
        <v>8B</v>
      </c>
      <c r="V58" s="35">
        <f>ROUND(V57*U47+S47,0)</f>
        <v>139</v>
      </c>
    </row>
    <row r="59" spans="2:40" x14ac:dyDescent="0.3">
      <c r="C59" s="14">
        <v>50</v>
      </c>
      <c r="D59" s="136" t="str">
        <f t="shared" si="128"/>
        <v/>
      </c>
      <c r="E59" t="s">
        <v>135</v>
      </c>
      <c r="F59" s="36" t="str">
        <f>IF(G59&lt;16,"0","")&amp;DEC2HEX(G59)</f>
        <v>59</v>
      </c>
      <c r="G59" s="35">
        <f>ROUND(G58*J47+H47,0)</f>
        <v>89</v>
      </c>
      <c r="H59" s="36" t="str">
        <f>IF(I59&lt;16,"0","")&amp;DEC2HEX(I59)</f>
        <v>78</v>
      </c>
      <c r="I59" s="35">
        <f>ROUND(I58*J47+H47,0)</f>
        <v>120</v>
      </c>
      <c r="J59" s="36" t="str">
        <f>IF(K59&lt;16,"0","")&amp;DEC2HEX(K59)</f>
        <v>26</v>
      </c>
      <c r="K59" s="35">
        <f>ROUND(K58*J47+H47,0)</f>
        <v>38</v>
      </c>
      <c r="L59" s="35"/>
      <c r="N59" s="14">
        <v>50</v>
      </c>
      <c r="O59" s="46" t="str">
        <f t="shared" si="132"/>
        <v/>
      </c>
      <c r="P59" t="s">
        <v>49</v>
      </c>
      <c r="Q59" s="36" t="str">
        <f t="shared" si="133"/>
        <v>00</v>
      </c>
      <c r="R59" s="35">
        <f>ROUND(R58*U47+S47,0)</f>
        <v>0</v>
      </c>
      <c r="S59" s="36" t="str">
        <f t="shared" si="134"/>
        <v>00</v>
      </c>
      <c r="T59" s="35">
        <f>ROUND(T58*U47+S47,0)</f>
        <v>0</v>
      </c>
      <c r="U59" s="36" t="str">
        <f t="shared" si="135"/>
        <v>78</v>
      </c>
      <c r="V59" s="35">
        <f>ROUND(V58*U47+S47,0)</f>
        <v>120</v>
      </c>
    </row>
    <row r="60" spans="2:40" x14ac:dyDescent="0.3">
      <c r="C60" s="14">
        <v>10</v>
      </c>
      <c r="D60" s="137" t="str">
        <f t="shared" si="128"/>
        <v/>
      </c>
      <c r="E60" t="s">
        <v>136</v>
      </c>
      <c r="F60" s="36" t="str">
        <f>IF(G60&lt;16,"0","")&amp;DEC2HEX(G60)</f>
        <v>4D</v>
      </c>
      <c r="G60" s="35">
        <f>ROUND(G59*J47+H47,0)</f>
        <v>77</v>
      </c>
      <c r="H60" s="36" t="str">
        <f>IF(I60&lt;16,"0","")&amp;DEC2HEX(I60)</f>
        <v>67</v>
      </c>
      <c r="I60" s="35">
        <f>ROUND(I59*J47+H47,0)</f>
        <v>103</v>
      </c>
      <c r="J60" s="36" t="str">
        <f>IF(K60&lt;16,"0","")&amp;DEC2HEX(K60)</f>
        <v>21</v>
      </c>
      <c r="K60" s="35">
        <f>ROUND(K59*J47+H47,0)</f>
        <v>33</v>
      </c>
      <c r="L60" s="35"/>
      <c r="N60" s="14">
        <v>10</v>
      </c>
      <c r="O60" s="44" t="str">
        <f t="shared" si="132"/>
        <v/>
      </c>
      <c r="P60" t="s">
        <v>47</v>
      </c>
      <c r="Q60" s="36" t="str">
        <f t="shared" si="133"/>
        <v>00</v>
      </c>
      <c r="R60" s="35">
        <f>ROUND(R59*U47+S47,0)</f>
        <v>0</v>
      </c>
      <c r="S60" s="36" t="str">
        <f t="shared" si="134"/>
        <v>00</v>
      </c>
      <c r="T60" s="35">
        <f>ROUND(T59*U47+S47,0)</f>
        <v>0</v>
      </c>
      <c r="U60" s="36" t="str">
        <f t="shared" si="135"/>
        <v>67</v>
      </c>
      <c r="V60" s="35">
        <f>ROUND(V59*U47+S47,0)</f>
        <v>103</v>
      </c>
    </row>
    <row r="63" spans="2:40" x14ac:dyDescent="0.3">
      <c r="AN63" s="107"/>
    </row>
    <row r="67" spans="2:22" x14ac:dyDescent="0.3">
      <c r="B67" t="s">
        <v>17</v>
      </c>
      <c r="F67" s="13" t="s">
        <v>0</v>
      </c>
      <c r="H67" s="13" t="s">
        <v>1</v>
      </c>
      <c r="J67" s="13" t="s">
        <v>2</v>
      </c>
      <c r="M67" t="s">
        <v>3</v>
      </c>
      <c r="N67" t="s">
        <v>6</v>
      </c>
      <c r="O67" t="s">
        <v>4</v>
      </c>
      <c r="P67" t="s">
        <v>5</v>
      </c>
      <c r="Q67" s="13"/>
    </row>
    <row r="68" spans="2:22" x14ac:dyDescent="0.3">
      <c r="B68" t="s">
        <v>94</v>
      </c>
      <c r="C68" s="14">
        <v>1</v>
      </c>
      <c r="D68" s="79" t="str">
        <f>SetIt(D68, F68, H68, J68, "#" &amp; _xlfn.CONCAT(F68,H68,J68))</f>
        <v/>
      </c>
      <c r="E68" t="s">
        <v>82</v>
      </c>
      <c r="F68" s="36" t="str">
        <f>IF(G68&lt;16,"0","")&amp;DEC2HEX(G68)</f>
        <v>01</v>
      </c>
      <c r="G68" s="35">
        <v>1</v>
      </c>
      <c r="H68" s="36" t="str">
        <f>IF(I68&lt;16,"0","")&amp;DEC2HEX(I68)</f>
        <v>6E</v>
      </c>
      <c r="I68" s="35">
        <v>110</v>
      </c>
      <c r="J68" s="36" t="str">
        <f>IF(K68&lt;16,"0","")&amp;DEC2HEX(K68)</f>
        <v>F0</v>
      </c>
      <c r="K68" s="35">
        <v>240</v>
      </c>
      <c r="Q68" s="1"/>
      <c r="S68" s="1"/>
    </row>
    <row r="69" spans="2:22" x14ac:dyDescent="0.3">
      <c r="B69" t="s">
        <v>95</v>
      </c>
      <c r="C69" s="14">
        <v>2</v>
      </c>
      <c r="D69" s="81" t="str">
        <f>SetIt(D69, F69, H69, J69, "#" &amp; _xlfn.CONCAT(F69,H69,J69))</f>
        <v/>
      </c>
      <c r="E69" t="s">
        <v>84</v>
      </c>
      <c r="F69" s="36" t="str">
        <f>IF(G69&lt;16,"0","")&amp;DEC2HEX(G69)</f>
        <v>1A</v>
      </c>
      <c r="G69" s="35">
        <f t="shared" ref="G69:G78" si="136">ROUND(G$68*P69+O69,0)</f>
        <v>26</v>
      </c>
      <c r="H69" s="36" t="str">
        <f>IF(I69&lt;16,"0","")&amp;DEC2HEX(I69)</f>
        <v>7D</v>
      </c>
      <c r="I69" s="35">
        <f t="shared" ref="I69:I78" si="137">ROUND(I$68*P69+O69,0)</f>
        <v>125</v>
      </c>
      <c r="J69" s="36" t="str">
        <f>IF(K69&lt;16,"0","")&amp;DEC2HEX(K69)</f>
        <v>F2</v>
      </c>
      <c r="K69" s="35">
        <f t="shared" ref="K69:K78" si="138">ROUND(K$68*P69+O69,0)</f>
        <v>242</v>
      </c>
      <c r="M69">
        <v>0.1</v>
      </c>
      <c r="N69" t="b">
        <f>(M69&lt;0)</f>
        <v>0</v>
      </c>
      <c r="O69" s="1">
        <f>IF(N69,0,255*M69)</f>
        <v>25.5</v>
      </c>
      <c r="P69" s="1">
        <f>IF(N69,1+M69,1-M69)</f>
        <v>0.9</v>
      </c>
      <c r="T69" s="33">
        <v>-0.1</v>
      </c>
      <c r="U69">
        <v>0.1</v>
      </c>
      <c r="V69" s="1"/>
    </row>
    <row r="70" spans="2:22" x14ac:dyDescent="0.3">
      <c r="C70" s="14">
        <v>3</v>
      </c>
      <c r="D70" s="82" t="str">
        <f t="shared" ref="D70:D77" si="139">SetIt(D70, F70, H70, J70, "#" &amp; _xlfn.CONCAT(F70,H70,J70))</f>
        <v/>
      </c>
      <c r="E70" t="s">
        <v>85</v>
      </c>
      <c r="F70" s="36" t="str">
        <f t="shared" ref="F70:F78" si="140">IF(G70&lt;16,"0","")&amp;DEC2HEX(G70)</f>
        <v>34</v>
      </c>
      <c r="G70" s="35">
        <f t="shared" si="136"/>
        <v>52</v>
      </c>
      <c r="H70" s="36" t="str">
        <f t="shared" ref="H70:H78" si="141">IF(I70&lt;16,"0","")&amp;DEC2HEX(I70)</f>
        <v>8B</v>
      </c>
      <c r="I70" s="35">
        <f t="shared" si="137"/>
        <v>139</v>
      </c>
      <c r="J70" s="36" t="str">
        <f t="shared" ref="J70:J78" si="142">IF(K70&lt;16,"0","")&amp;DEC2HEX(K70)</f>
        <v>F3</v>
      </c>
      <c r="K70" s="35">
        <f t="shared" si="138"/>
        <v>243</v>
      </c>
      <c r="M70">
        <v>0.2</v>
      </c>
      <c r="N70" t="b">
        <f t="shared" ref="N70:N78" si="143">(M70&lt;0)</f>
        <v>0</v>
      </c>
      <c r="O70" s="1">
        <f t="shared" ref="O70:O77" si="144">IF(N70,0,255*M70)</f>
        <v>51</v>
      </c>
      <c r="P70" s="1">
        <f t="shared" ref="P70:P77" si="145">IF(N70,1+M70,1-M70)</f>
        <v>0.8</v>
      </c>
      <c r="T70" s="33">
        <v>-0.2</v>
      </c>
      <c r="U70">
        <v>0.2</v>
      </c>
      <c r="V70" s="1"/>
    </row>
    <row r="71" spans="2:22" x14ac:dyDescent="0.3">
      <c r="C71" s="14">
        <v>4</v>
      </c>
      <c r="D71" s="84" t="str">
        <f t="shared" si="139"/>
        <v/>
      </c>
      <c r="E71" t="s">
        <v>87</v>
      </c>
      <c r="F71" s="36" t="str">
        <f t="shared" si="140"/>
        <v>4D</v>
      </c>
      <c r="G71" s="35">
        <f t="shared" si="136"/>
        <v>77</v>
      </c>
      <c r="H71" s="36" t="str">
        <f t="shared" si="141"/>
        <v>9A</v>
      </c>
      <c r="I71" s="35">
        <f t="shared" si="137"/>
        <v>154</v>
      </c>
      <c r="J71" s="36" t="str">
        <f t="shared" si="142"/>
        <v>F5</v>
      </c>
      <c r="K71" s="35">
        <f t="shared" si="138"/>
        <v>245</v>
      </c>
      <c r="M71">
        <v>0.3</v>
      </c>
      <c r="N71" t="b">
        <f t="shared" si="143"/>
        <v>0</v>
      </c>
      <c r="O71" s="1">
        <f t="shared" si="144"/>
        <v>76.5</v>
      </c>
      <c r="P71" s="1">
        <f t="shared" si="145"/>
        <v>0.7</v>
      </c>
      <c r="T71" s="33">
        <v>-0.3</v>
      </c>
      <c r="U71">
        <v>0.3</v>
      </c>
      <c r="V71" s="1"/>
    </row>
    <row r="72" spans="2:22" x14ac:dyDescent="0.3">
      <c r="C72" s="14">
        <v>5</v>
      </c>
      <c r="D72" s="83" t="str">
        <f t="shared" si="139"/>
        <v/>
      </c>
      <c r="E72" t="s">
        <v>86</v>
      </c>
      <c r="F72" s="36" t="str">
        <f t="shared" si="140"/>
        <v>67</v>
      </c>
      <c r="G72" s="35">
        <f t="shared" si="136"/>
        <v>103</v>
      </c>
      <c r="H72" s="36" t="str">
        <f t="shared" si="141"/>
        <v>A8</v>
      </c>
      <c r="I72" s="35">
        <f t="shared" si="137"/>
        <v>168</v>
      </c>
      <c r="J72" s="36" t="str">
        <f t="shared" si="142"/>
        <v>F6</v>
      </c>
      <c r="K72" s="35">
        <f t="shared" si="138"/>
        <v>246</v>
      </c>
      <c r="M72">
        <v>0.4</v>
      </c>
      <c r="N72" t="b">
        <f t="shared" si="143"/>
        <v>0</v>
      </c>
      <c r="O72" s="1">
        <f t="shared" si="144"/>
        <v>102</v>
      </c>
      <c r="P72" s="1">
        <f t="shared" si="145"/>
        <v>0.6</v>
      </c>
      <c r="T72" s="33">
        <v>-0.4</v>
      </c>
      <c r="U72">
        <v>0.4</v>
      </c>
      <c r="V72" s="1"/>
    </row>
    <row r="73" spans="2:22" x14ac:dyDescent="0.3">
      <c r="C73" s="14">
        <v>6</v>
      </c>
      <c r="D73" s="85" t="str">
        <f t="shared" si="139"/>
        <v/>
      </c>
      <c r="E73" t="s">
        <v>88</v>
      </c>
      <c r="F73" s="36" t="str">
        <f t="shared" si="140"/>
        <v>80</v>
      </c>
      <c r="G73" s="35">
        <f t="shared" si="136"/>
        <v>128</v>
      </c>
      <c r="H73" s="36" t="str">
        <f t="shared" si="141"/>
        <v>B7</v>
      </c>
      <c r="I73" s="35">
        <f t="shared" si="137"/>
        <v>183</v>
      </c>
      <c r="J73" s="36" t="str">
        <f t="shared" si="142"/>
        <v>F8</v>
      </c>
      <c r="K73" s="35">
        <f t="shared" si="138"/>
        <v>248</v>
      </c>
      <c r="M73">
        <v>0.5</v>
      </c>
      <c r="N73" t="b">
        <f t="shared" si="143"/>
        <v>0</v>
      </c>
      <c r="O73" s="1">
        <f t="shared" si="144"/>
        <v>127.5</v>
      </c>
      <c r="P73" s="1">
        <f t="shared" si="145"/>
        <v>0.5</v>
      </c>
      <c r="T73" s="33">
        <v>-0.5</v>
      </c>
      <c r="U73">
        <v>0.5</v>
      </c>
      <c r="V73" s="1"/>
    </row>
    <row r="74" spans="2:22" x14ac:dyDescent="0.3">
      <c r="C74" s="14">
        <v>7</v>
      </c>
      <c r="D74" s="86" t="str">
        <f t="shared" si="139"/>
        <v/>
      </c>
      <c r="E74" t="s">
        <v>89</v>
      </c>
      <c r="F74" s="36" t="str">
        <f t="shared" si="140"/>
        <v>99</v>
      </c>
      <c r="G74" s="35">
        <f t="shared" si="136"/>
        <v>153</v>
      </c>
      <c r="H74" s="36" t="str">
        <f t="shared" si="141"/>
        <v>C5</v>
      </c>
      <c r="I74" s="35">
        <f t="shared" si="137"/>
        <v>197</v>
      </c>
      <c r="J74" s="36" t="str">
        <f t="shared" si="142"/>
        <v>F9</v>
      </c>
      <c r="K74" s="35">
        <f t="shared" si="138"/>
        <v>249</v>
      </c>
      <c r="M74">
        <v>0.6</v>
      </c>
      <c r="N74" t="b">
        <f t="shared" si="143"/>
        <v>0</v>
      </c>
      <c r="O74" s="1">
        <f t="shared" si="144"/>
        <v>153</v>
      </c>
      <c r="P74" s="1">
        <f t="shared" si="145"/>
        <v>0.4</v>
      </c>
      <c r="T74" s="33">
        <v>-0.6</v>
      </c>
      <c r="U74">
        <v>0.6</v>
      </c>
      <c r="V74" s="1"/>
    </row>
    <row r="75" spans="2:22" x14ac:dyDescent="0.3">
      <c r="C75" s="14">
        <v>8</v>
      </c>
      <c r="D75" s="89" t="str">
        <f t="shared" si="139"/>
        <v/>
      </c>
      <c r="E75" t="s">
        <v>92</v>
      </c>
      <c r="F75" s="36" t="str">
        <f t="shared" si="140"/>
        <v>B3</v>
      </c>
      <c r="G75" s="35">
        <f t="shared" si="136"/>
        <v>179</v>
      </c>
      <c r="H75" s="36" t="str">
        <f t="shared" si="141"/>
        <v>D4</v>
      </c>
      <c r="I75" s="35">
        <f t="shared" si="137"/>
        <v>212</v>
      </c>
      <c r="J75" s="36" t="str">
        <f t="shared" si="142"/>
        <v>FB</v>
      </c>
      <c r="K75" s="35">
        <f t="shared" si="138"/>
        <v>251</v>
      </c>
      <c r="M75">
        <v>0.7</v>
      </c>
      <c r="N75" t="b">
        <f t="shared" si="143"/>
        <v>0</v>
      </c>
      <c r="O75" s="1">
        <f t="shared" si="144"/>
        <v>178.5</v>
      </c>
      <c r="P75" s="1">
        <f t="shared" si="145"/>
        <v>0.30000000000000004</v>
      </c>
      <c r="T75" s="33">
        <v>-0.7</v>
      </c>
      <c r="U75">
        <v>0.7</v>
      </c>
      <c r="V75" s="1"/>
    </row>
    <row r="76" spans="2:22" x14ac:dyDescent="0.3">
      <c r="C76" s="14">
        <v>9</v>
      </c>
      <c r="D76" s="88" t="str">
        <f t="shared" si="139"/>
        <v/>
      </c>
      <c r="E76" t="s">
        <v>91</v>
      </c>
      <c r="F76" s="36" t="str">
        <f t="shared" si="140"/>
        <v>CC</v>
      </c>
      <c r="G76" s="35">
        <f t="shared" si="136"/>
        <v>204</v>
      </c>
      <c r="H76" s="36" t="str">
        <f t="shared" si="141"/>
        <v>E2</v>
      </c>
      <c r="I76" s="35">
        <f t="shared" si="137"/>
        <v>226</v>
      </c>
      <c r="J76" s="36" t="str">
        <f t="shared" si="142"/>
        <v>FC</v>
      </c>
      <c r="K76" s="35">
        <f t="shared" si="138"/>
        <v>252</v>
      </c>
      <c r="M76">
        <v>0.8</v>
      </c>
      <c r="N76" t="b">
        <f t="shared" si="143"/>
        <v>0</v>
      </c>
      <c r="O76" s="1">
        <f t="shared" si="144"/>
        <v>204</v>
      </c>
      <c r="P76" s="1">
        <f t="shared" si="145"/>
        <v>0.19999999999999996</v>
      </c>
      <c r="T76" s="33">
        <v>-0.8</v>
      </c>
      <c r="U76">
        <v>0.8</v>
      </c>
      <c r="V76" s="1"/>
    </row>
    <row r="77" spans="2:22" x14ac:dyDescent="0.3">
      <c r="C77" s="14">
        <v>10</v>
      </c>
      <c r="D77" s="87" t="str">
        <f t="shared" si="139"/>
        <v/>
      </c>
      <c r="E77" t="s">
        <v>90</v>
      </c>
      <c r="F77" s="36" t="str">
        <f t="shared" si="140"/>
        <v>E6</v>
      </c>
      <c r="G77" s="35">
        <f t="shared" si="136"/>
        <v>230</v>
      </c>
      <c r="H77" s="36" t="str">
        <f t="shared" si="141"/>
        <v>F1</v>
      </c>
      <c r="I77" s="35">
        <f t="shared" si="137"/>
        <v>241</v>
      </c>
      <c r="J77" s="36" t="str">
        <f t="shared" si="142"/>
        <v>FE</v>
      </c>
      <c r="K77" s="35">
        <f t="shared" si="138"/>
        <v>254</v>
      </c>
      <c r="M77">
        <v>0.9</v>
      </c>
      <c r="N77" t="b">
        <f t="shared" si="143"/>
        <v>0</v>
      </c>
      <c r="O77" s="1">
        <f t="shared" si="144"/>
        <v>229.5</v>
      </c>
      <c r="P77" s="1">
        <f t="shared" si="145"/>
        <v>9.9999999999999978E-2</v>
      </c>
      <c r="T77" s="33">
        <v>-0.9</v>
      </c>
      <c r="U77">
        <v>0.9</v>
      </c>
      <c r="V77" s="1"/>
    </row>
    <row r="78" spans="2:22" x14ac:dyDescent="0.3">
      <c r="C78" s="14">
        <v>11</v>
      </c>
      <c r="D78" s="80" t="str">
        <f>SetIt(D78, F78, H78, J78, "#" &amp; _xlfn.CONCAT(F78,H78,J78))</f>
        <v/>
      </c>
      <c r="E78" t="s">
        <v>83</v>
      </c>
      <c r="F78" s="36" t="str">
        <f t="shared" si="140"/>
        <v>F2</v>
      </c>
      <c r="G78" s="35">
        <f t="shared" si="136"/>
        <v>242</v>
      </c>
      <c r="H78" s="36" t="str">
        <f t="shared" si="141"/>
        <v>F8</v>
      </c>
      <c r="I78" s="35">
        <f t="shared" si="137"/>
        <v>248</v>
      </c>
      <c r="J78" s="36" t="str">
        <f t="shared" si="142"/>
        <v>FE</v>
      </c>
      <c r="K78" s="35">
        <f t="shared" si="138"/>
        <v>254</v>
      </c>
      <c r="M78">
        <v>0.95</v>
      </c>
      <c r="N78" t="b">
        <f t="shared" si="143"/>
        <v>0</v>
      </c>
      <c r="O78" s="1">
        <f>IF(N78,0,255*M78)</f>
        <v>242.25</v>
      </c>
      <c r="P78" s="1">
        <f>IF(N78,1+M78,1-M78)</f>
        <v>5.0000000000000044E-2</v>
      </c>
      <c r="T78" s="33">
        <v>-0.95</v>
      </c>
      <c r="U78">
        <v>0.95</v>
      </c>
      <c r="V78" s="1"/>
    </row>
    <row r="83" spans="2:22" x14ac:dyDescent="0.3">
      <c r="F83"/>
    </row>
    <row r="84" spans="2:22" x14ac:dyDescent="0.3">
      <c r="D84" t="s">
        <v>3</v>
      </c>
      <c r="E84" t="s">
        <v>6</v>
      </c>
      <c r="G84" t="s">
        <v>4</v>
      </c>
      <c r="J84" t="s">
        <v>5</v>
      </c>
      <c r="L84" s="1"/>
      <c r="N84" s="14"/>
      <c r="O84" t="s">
        <v>3</v>
      </c>
      <c r="P84" t="s">
        <v>6</v>
      </c>
      <c r="Q84" s="13"/>
      <c r="R84" t="s">
        <v>4</v>
      </c>
      <c r="S84" s="13"/>
      <c r="U84" t="s">
        <v>5</v>
      </c>
    </row>
    <row r="85" spans="2:22" x14ac:dyDescent="0.3">
      <c r="D85" s="1">
        <v>-0.1</v>
      </c>
      <c r="E85" t="b">
        <f>(D85&lt;0)</f>
        <v>1</v>
      </c>
      <c r="F85" s="186">
        <f>IF(E85,0,255*D85)</f>
        <v>0</v>
      </c>
      <c r="G85" s="186"/>
      <c r="H85" s="186"/>
      <c r="I85" s="186">
        <f>IF(E85,1+D85,1-D85)</f>
        <v>0.9</v>
      </c>
      <c r="J85" s="186"/>
      <c r="K85" s="186"/>
      <c r="N85" s="14"/>
      <c r="O85" s="1">
        <v>0.25</v>
      </c>
      <c r="P85" t="b">
        <f>(O85&lt;0)</f>
        <v>0</v>
      </c>
      <c r="Q85" s="186">
        <f>IF(P85,0,255*O85)</f>
        <v>63.75</v>
      </c>
      <c r="R85" s="186"/>
      <c r="S85" s="186"/>
      <c r="T85" s="186">
        <f>IF(P85,1+O85,1-O85)</f>
        <v>0.75</v>
      </c>
      <c r="U85" s="186"/>
      <c r="V85" s="186"/>
    </row>
    <row r="86" spans="2:22" x14ac:dyDescent="0.3">
      <c r="B86" t="s">
        <v>17</v>
      </c>
      <c r="F86" s="13" t="s">
        <v>0</v>
      </c>
      <c r="H86" s="13" t="s">
        <v>1</v>
      </c>
      <c r="J86" s="13" t="s">
        <v>2</v>
      </c>
      <c r="N86" s="14"/>
      <c r="Q86" s="13" t="s">
        <v>0</v>
      </c>
      <c r="S86" s="13" t="s">
        <v>1</v>
      </c>
      <c r="U86" s="13" t="s">
        <v>2</v>
      </c>
    </row>
    <row r="87" spans="2:22" x14ac:dyDescent="0.3">
      <c r="B87" t="s">
        <v>80</v>
      </c>
      <c r="C87" s="14">
        <v>1</v>
      </c>
      <c r="D87" s="2" t="str">
        <f>SetIt(D87, F87, H87, J87, "#" &amp; _xlfn.CONCAT(F87,H87,J87))</f>
        <v/>
      </c>
      <c r="E87" t="s">
        <v>7</v>
      </c>
      <c r="F87" s="36" t="str">
        <f t="shared" ref="F87:F96" si="146">IF(G87&lt;16,"0","")&amp;DEC2HEX(G87)</f>
        <v>FF</v>
      </c>
      <c r="G87" s="35">
        <v>255</v>
      </c>
      <c r="H87" s="36" t="str">
        <f t="shared" ref="H87:H96" si="147">IF(I87&lt;16,"0","")&amp;DEC2HEX(I87)</f>
        <v>00</v>
      </c>
      <c r="I87" s="35">
        <v>0</v>
      </c>
      <c r="J87" s="36" t="str">
        <f t="shared" ref="J87:J96" si="148">IF(K87&lt;16,"0","")&amp;DEC2HEX(K87)</f>
        <v>00</v>
      </c>
      <c r="K87" s="35">
        <v>0</v>
      </c>
      <c r="L87" s="35"/>
      <c r="N87" s="14">
        <v>1</v>
      </c>
      <c r="O87" s="68" t="str">
        <f>SetIt(O87, Q87, S87, U87, "#" &amp; _xlfn.CONCAT(Q87,S87,U87))</f>
        <v/>
      </c>
      <c r="P87" t="s">
        <v>70</v>
      </c>
      <c r="Q87" s="36" t="str">
        <f t="shared" ref="Q87:Q96" si="149">IF(R87&lt;16,"0","")&amp;DEC2HEX(R87)</f>
        <v>01</v>
      </c>
      <c r="R87" s="35">
        <v>1</v>
      </c>
      <c r="S87" s="36" t="str">
        <f t="shared" ref="S87:S96" si="150">IF(T87&lt;16,"0","")&amp;DEC2HEX(T87)</f>
        <v>57</v>
      </c>
      <c r="T87" s="35">
        <v>87</v>
      </c>
      <c r="U87" s="36" t="str">
        <f t="shared" ref="U87:U96" si="151">IF(V87&lt;16,"0","")&amp;DEC2HEX(V87)</f>
        <v>9B</v>
      </c>
      <c r="V87" s="35">
        <v>155</v>
      </c>
    </row>
    <row r="88" spans="2:22" x14ac:dyDescent="0.3">
      <c r="B88" t="s">
        <v>93</v>
      </c>
      <c r="C88" s="14">
        <v>2</v>
      </c>
      <c r="D88" s="4" t="str">
        <f>SetIt(D88, F88, H88, J88, "#" &amp; _xlfn.CONCAT(F88,H88,J88))</f>
        <v/>
      </c>
      <c r="E88" t="s">
        <v>8</v>
      </c>
      <c r="F88" s="36" t="str">
        <f t="shared" si="146"/>
        <v>E6</v>
      </c>
      <c r="G88" s="35">
        <f>ROUND(G87*I85+F85,0)</f>
        <v>230</v>
      </c>
      <c r="H88" s="36" t="str">
        <f t="shared" si="147"/>
        <v>00</v>
      </c>
      <c r="I88" s="35">
        <f>ROUND(I87*I85+F85,0)</f>
        <v>0</v>
      </c>
      <c r="J88" s="36" t="str">
        <f t="shared" si="148"/>
        <v>00</v>
      </c>
      <c r="K88" s="35">
        <f>ROUND(K87*I85+F85,0)</f>
        <v>0</v>
      </c>
      <c r="L88" s="35"/>
      <c r="N88" s="14">
        <v>2</v>
      </c>
      <c r="O88" s="69" t="str">
        <f>SetIt(O88, Q88, S88, U88, "#" &amp; _xlfn.CONCAT(Q88,S88,U88))</f>
        <v/>
      </c>
      <c r="P88" t="s">
        <v>71</v>
      </c>
      <c r="Q88" s="36" t="str">
        <f t="shared" si="149"/>
        <v>41</v>
      </c>
      <c r="R88" s="35">
        <f>ROUND(R87*T85+Q85,0)</f>
        <v>65</v>
      </c>
      <c r="S88" s="36" t="str">
        <f t="shared" si="150"/>
        <v>81</v>
      </c>
      <c r="T88" s="35">
        <f>ROUND(T87*T85+Q85,0)</f>
        <v>129</v>
      </c>
      <c r="U88" s="36" t="str">
        <f t="shared" si="151"/>
        <v>B4</v>
      </c>
      <c r="V88" s="35">
        <f>ROUND(V87*T85+Q85,0)</f>
        <v>180</v>
      </c>
    </row>
    <row r="89" spans="2:22" x14ac:dyDescent="0.3">
      <c r="C89" s="14">
        <v>3</v>
      </c>
      <c r="D89" s="12" t="str">
        <f t="shared" ref="D89:D96" si="152">SetIt(D89, F89, H89, J89, "#" &amp; _xlfn.CONCAT(F89,H89,J89))</f>
        <v/>
      </c>
      <c r="E89" t="s">
        <v>16</v>
      </c>
      <c r="F89" s="36" t="str">
        <f t="shared" si="146"/>
        <v>CF</v>
      </c>
      <c r="G89" s="35">
        <f>ROUND(G88*I85+F85,0)</f>
        <v>207</v>
      </c>
      <c r="H89" s="36" t="str">
        <f t="shared" si="147"/>
        <v>00</v>
      </c>
      <c r="I89" s="35">
        <f>ROUND(I88*I85+F85,0)</f>
        <v>0</v>
      </c>
      <c r="J89" s="36" t="str">
        <f t="shared" si="148"/>
        <v>00</v>
      </c>
      <c r="K89" s="35">
        <f>ROUND(K88*I85+F85,0)</f>
        <v>0</v>
      </c>
      <c r="L89" s="35"/>
      <c r="N89" s="14">
        <v>3</v>
      </c>
      <c r="O89" s="70" t="str">
        <f t="shared" ref="O89:O96" si="153">SetIt(O89, Q89, S89, U89, "#" &amp; _xlfn.CONCAT(Q89,S89,U89))</f>
        <v/>
      </c>
      <c r="P89" t="s">
        <v>72</v>
      </c>
      <c r="Q89" s="36" t="str">
        <f t="shared" si="149"/>
        <v>71</v>
      </c>
      <c r="R89" s="35">
        <f>ROUND(R88*T85+Q85,0)</f>
        <v>113</v>
      </c>
      <c r="S89" s="36" t="str">
        <f t="shared" si="150"/>
        <v>A1</v>
      </c>
      <c r="T89" s="35">
        <f>ROUND(T88*T85+Q85,0)</f>
        <v>161</v>
      </c>
      <c r="U89" s="36" t="str">
        <f t="shared" si="151"/>
        <v>C7</v>
      </c>
      <c r="V89" s="35">
        <f>ROUND(V88*T85+Q85,0)</f>
        <v>199</v>
      </c>
    </row>
    <row r="90" spans="2:22" x14ac:dyDescent="0.3">
      <c r="C90" s="14">
        <v>4</v>
      </c>
      <c r="D90" s="6" t="str">
        <f t="shared" si="152"/>
        <v/>
      </c>
      <c r="E90" t="s">
        <v>10</v>
      </c>
      <c r="F90" s="36" t="str">
        <f t="shared" si="146"/>
        <v>BA</v>
      </c>
      <c r="G90" s="35">
        <f>ROUND(G89*I85+F85,0)</f>
        <v>186</v>
      </c>
      <c r="H90" s="36" t="str">
        <f t="shared" si="147"/>
        <v>00</v>
      </c>
      <c r="I90" s="35">
        <f>ROUND(I89*I85+F85,0)</f>
        <v>0</v>
      </c>
      <c r="J90" s="36" t="str">
        <f t="shared" si="148"/>
        <v>00</v>
      </c>
      <c r="K90" s="35">
        <f>ROUND(K89*I85+F85,0)</f>
        <v>0</v>
      </c>
      <c r="L90" s="35"/>
      <c r="N90" s="14">
        <v>4</v>
      </c>
      <c r="O90" s="72" t="str">
        <f t="shared" si="153"/>
        <v/>
      </c>
      <c r="P90" t="s">
        <v>74</v>
      </c>
      <c r="Q90" s="36" t="str">
        <f t="shared" si="149"/>
        <v>95</v>
      </c>
      <c r="R90" s="35">
        <f>ROUND(R89*T85+Q85,0)</f>
        <v>149</v>
      </c>
      <c r="S90" s="36" t="str">
        <f t="shared" si="150"/>
        <v>B9</v>
      </c>
      <c r="T90" s="35">
        <f>ROUND(T89*T85+Q85,0)</f>
        <v>185</v>
      </c>
      <c r="U90" s="36" t="str">
        <f t="shared" si="151"/>
        <v>D5</v>
      </c>
      <c r="V90" s="35">
        <f>ROUND(V89*T85+Q85,0)</f>
        <v>213</v>
      </c>
    </row>
    <row r="91" spans="2:22" x14ac:dyDescent="0.3">
      <c r="C91" s="14">
        <v>5</v>
      </c>
      <c r="D91" s="7" t="str">
        <f t="shared" si="152"/>
        <v/>
      </c>
      <c r="E91" t="s">
        <v>11</v>
      </c>
      <c r="F91" s="36" t="str">
        <f t="shared" si="146"/>
        <v>A7</v>
      </c>
      <c r="G91" s="35">
        <f>ROUND(G90*I85+F85,0)</f>
        <v>167</v>
      </c>
      <c r="H91" s="36" t="str">
        <f t="shared" si="147"/>
        <v>00</v>
      </c>
      <c r="I91" s="35">
        <f>ROUND(I90*I85+F85,0)</f>
        <v>0</v>
      </c>
      <c r="J91" s="36" t="str">
        <f t="shared" si="148"/>
        <v>00</v>
      </c>
      <c r="K91" s="35">
        <f>ROUND(K90*I85+F85,0)</f>
        <v>0</v>
      </c>
      <c r="L91" s="35"/>
      <c r="N91" s="14">
        <v>5</v>
      </c>
      <c r="O91" s="71" t="str">
        <f t="shared" si="153"/>
        <v/>
      </c>
      <c r="P91" t="s">
        <v>73</v>
      </c>
      <c r="Q91" s="36" t="str">
        <f t="shared" si="149"/>
        <v>B0</v>
      </c>
      <c r="R91" s="35">
        <f>ROUND(R90*T85+Q85,0)</f>
        <v>176</v>
      </c>
      <c r="S91" s="36" t="str">
        <f t="shared" si="150"/>
        <v>CB</v>
      </c>
      <c r="T91" s="35">
        <f>ROUND(T90*T85+Q85,0)</f>
        <v>203</v>
      </c>
      <c r="U91" s="36" t="str">
        <f t="shared" si="151"/>
        <v>E0</v>
      </c>
      <c r="V91" s="35">
        <f>ROUND(V90*T85+Q85,0)</f>
        <v>224</v>
      </c>
    </row>
    <row r="92" spans="2:22" x14ac:dyDescent="0.3">
      <c r="C92" s="14">
        <v>6</v>
      </c>
      <c r="D92" s="10" t="str">
        <f t="shared" si="152"/>
        <v/>
      </c>
      <c r="E92" t="s">
        <v>14</v>
      </c>
      <c r="F92" s="36" t="str">
        <f t="shared" si="146"/>
        <v>96</v>
      </c>
      <c r="G92" s="35">
        <f>ROUND(G91*I85+F85,0)</f>
        <v>150</v>
      </c>
      <c r="H92" s="36" t="str">
        <f t="shared" si="147"/>
        <v>00</v>
      </c>
      <c r="I92" s="35">
        <f>ROUND(I91*I85+F85,0)</f>
        <v>0</v>
      </c>
      <c r="J92" s="36" t="str">
        <f t="shared" si="148"/>
        <v>00</v>
      </c>
      <c r="K92" s="35">
        <f>ROUND(K91*I85+F85,0)</f>
        <v>0</v>
      </c>
      <c r="L92" s="35"/>
      <c r="N92" s="14">
        <v>6</v>
      </c>
      <c r="O92" s="73" t="str">
        <f t="shared" si="153"/>
        <v/>
      </c>
      <c r="P92" t="s">
        <v>75</v>
      </c>
      <c r="Q92" s="36" t="str">
        <f t="shared" si="149"/>
        <v>C4</v>
      </c>
      <c r="R92" s="35">
        <f>ROUND(R91*T85+Q85,0)</f>
        <v>196</v>
      </c>
      <c r="S92" s="36" t="str">
        <f t="shared" si="150"/>
        <v>D8</v>
      </c>
      <c r="T92" s="35">
        <f>ROUND(T91*T85+Q85,0)</f>
        <v>216</v>
      </c>
      <c r="U92" s="36" t="str">
        <f t="shared" si="151"/>
        <v>E8</v>
      </c>
      <c r="V92" s="35">
        <f>ROUND(V91*T85+Q85,0)</f>
        <v>232</v>
      </c>
    </row>
    <row r="93" spans="2:22" x14ac:dyDescent="0.3">
      <c r="C93" s="14">
        <v>7</v>
      </c>
      <c r="D93" s="11" t="str">
        <f t="shared" si="152"/>
        <v/>
      </c>
      <c r="E93" t="s">
        <v>15</v>
      </c>
      <c r="F93" s="36" t="str">
        <f t="shared" si="146"/>
        <v>87</v>
      </c>
      <c r="G93" s="35">
        <f>ROUND(G92*I85+F85,0)</f>
        <v>135</v>
      </c>
      <c r="H93" s="36" t="str">
        <f t="shared" si="147"/>
        <v>00</v>
      </c>
      <c r="I93" s="35">
        <f>ROUND(I92*I85+F85,0)</f>
        <v>0</v>
      </c>
      <c r="J93" s="36" t="str">
        <f t="shared" si="148"/>
        <v>00</v>
      </c>
      <c r="K93" s="35">
        <f>ROUND(K92*I85+F85,0)</f>
        <v>0</v>
      </c>
      <c r="L93" s="35"/>
      <c r="N93" s="14">
        <v>7</v>
      </c>
      <c r="O93" s="74" t="str">
        <f t="shared" si="153"/>
        <v/>
      </c>
      <c r="P93" t="s">
        <v>76</v>
      </c>
      <c r="Q93" s="36" t="str">
        <f t="shared" si="149"/>
        <v>D3</v>
      </c>
      <c r="R93" s="35">
        <f>ROUND(R92*T85+Q85,0)</f>
        <v>211</v>
      </c>
      <c r="S93" s="36" t="str">
        <f t="shared" si="150"/>
        <v>E2</v>
      </c>
      <c r="T93" s="35">
        <f>ROUND(T92*T85+Q85,0)</f>
        <v>226</v>
      </c>
      <c r="U93" s="36" t="str">
        <f t="shared" si="151"/>
        <v>EE</v>
      </c>
      <c r="V93" s="35">
        <f>ROUND(V92*T85+Q85,0)</f>
        <v>238</v>
      </c>
    </row>
    <row r="94" spans="2:22" x14ac:dyDescent="0.3">
      <c r="C94" s="14">
        <v>8</v>
      </c>
      <c r="D94" s="5" t="str">
        <f t="shared" si="152"/>
        <v/>
      </c>
      <c r="E94" t="s">
        <v>9</v>
      </c>
      <c r="F94" s="36" t="str">
        <f t="shared" si="146"/>
        <v>7A</v>
      </c>
      <c r="G94" s="35">
        <f>ROUND(G93*I85+F85,0)</f>
        <v>122</v>
      </c>
      <c r="H94" s="36" t="str">
        <f t="shared" si="147"/>
        <v>00</v>
      </c>
      <c r="I94" s="35">
        <f>ROUND(I93*I85+F85,0)</f>
        <v>0</v>
      </c>
      <c r="J94" s="36" t="str">
        <f t="shared" si="148"/>
        <v>00</v>
      </c>
      <c r="K94" s="35">
        <f>ROUND(K93*I85+F85,0)</f>
        <v>0</v>
      </c>
      <c r="L94" s="35"/>
      <c r="N94" s="14">
        <v>8</v>
      </c>
      <c r="O94" s="75" t="str">
        <f t="shared" si="153"/>
        <v/>
      </c>
      <c r="P94" t="s">
        <v>77</v>
      </c>
      <c r="Q94" s="36" t="str">
        <f t="shared" si="149"/>
        <v>DE</v>
      </c>
      <c r="R94" s="35">
        <f>ROUND(R93*T85+Q85,0)</f>
        <v>222</v>
      </c>
      <c r="S94" s="36" t="str">
        <f t="shared" si="150"/>
        <v>E9</v>
      </c>
      <c r="T94" s="35">
        <f>ROUND(T93*T85+Q85,0)</f>
        <v>233</v>
      </c>
      <c r="U94" s="36" t="str">
        <f t="shared" si="151"/>
        <v>F2</v>
      </c>
      <c r="V94" s="35">
        <f>ROUND(V93*T85+Q85,0)</f>
        <v>242</v>
      </c>
    </row>
    <row r="95" spans="2:22" x14ac:dyDescent="0.3">
      <c r="C95" s="14">
        <v>9</v>
      </c>
      <c r="D95" s="8" t="str">
        <f t="shared" si="152"/>
        <v/>
      </c>
      <c r="E95" t="s">
        <v>12</v>
      </c>
      <c r="F95" s="36" t="str">
        <f t="shared" si="146"/>
        <v>6E</v>
      </c>
      <c r="G95" s="35">
        <f>ROUND(G94*I85+F85,0)</f>
        <v>110</v>
      </c>
      <c r="H95" s="36" t="str">
        <f t="shared" si="147"/>
        <v>00</v>
      </c>
      <c r="I95" s="35">
        <f>ROUND(I94*I85+F85,0)</f>
        <v>0</v>
      </c>
      <c r="J95" s="36" t="str">
        <f t="shared" si="148"/>
        <v>00</v>
      </c>
      <c r="K95" s="35">
        <f>ROUND(K94*I85+F85,0)</f>
        <v>0</v>
      </c>
      <c r="L95" s="35"/>
      <c r="N95" s="14">
        <v>9</v>
      </c>
      <c r="O95" s="76" t="str">
        <f t="shared" si="153"/>
        <v/>
      </c>
      <c r="P95" t="s">
        <v>78</v>
      </c>
      <c r="Q95" s="36" t="str">
        <f t="shared" si="149"/>
        <v>E6</v>
      </c>
      <c r="R95" s="35">
        <f>ROUND(R94*T85+Q85,0)</f>
        <v>230</v>
      </c>
      <c r="S95" s="36" t="str">
        <f t="shared" si="150"/>
        <v>EF</v>
      </c>
      <c r="T95" s="35">
        <f>ROUND(T94*T85+Q85,0)</f>
        <v>239</v>
      </c>
      <c r="U95" s="36" t="str">
        <f t="shared" si="151"/>
        <v>F5</v>
      </c>
      <c r="V95" s="35">
        <f>ROUND(V94*T85+Q85,0)</f>
        <v>245</v>
      </c>
    </row>
    <row r="96" spans="2:22" x14ac:dyDescent="0.3">
      <c r="C96" s="14">
        <v>10</v>
      </c>
      <c r="D96" s="9" t="str">
        <f t="shared" si="152"/>
        <v/>
      </c>
      <c r="E96" t="s">
        <v>13</v>
      </c>
      <c r="F96" s="36" t="str">
        <f t="shared" si="146"/>
        <v>63</v>
      </c>
      <c r="G96" s="35">
        <f>ROUND(G95*I85+F85,0)</f>
        <v>99</v>
      </c>
      <c r="H96" s="36" t="str">
        <f t="shared" si="147"/>
        <v>00</v>
      </c>
      <c r="I96" s="35">
        <f>ROUND(I95*I85+F85,0)</f>
        <v>0</v>
      </c>
      <c r="J96" s="36" t="str">
        <f t="shared" si="148"/>
        <v>00</v>
      </c>
      <c r="K96" s="35">
        <f>ROUND(K95*I85+F85,0)</f>
        <v>0</v>
      </c>
      <c r="L96" s="35"/>
      <c r="N96" s="14">
        <v>10</v>
      </c>
      <c r="O96" s="77" t="str">
        <f t="shared" si="153"/>
        <v/>
      </c>
      <c r="P96" t="s">
        <v>79</v>
      </c>
      <c r="Q96" s="36" t="str">
        <f t="shared" si="149"/>
        <v>EC</v>
      </c>
      <c r="R96" s="35">
        <f>ROUND(R95*T85+Q85,0)</f>
        <v>236</v>
      </c>
      <c r="S96" s="36" t="str">
        <f t="shared" si="150"/>
        <v>F3</v>
      </c>
      <c r="T96" s="35">
        <f>ROUND(T95*T85+Q85,0)</f>
        <v>243</v>
      </c>
      <c r="U96" s="36" t="str">
        <f t="shared" si="151"/>
        <v>F8</v>
      </c>
      <c r="V96" s="35">
        <f>ROUND(V95*T85+Q85,0)</f>
        <v>248</v>
      </c>
    </row>
    <row r="97" spans="2:22" x14ac:dyDescent="0.3">
      <c r="F97" s="36"/>
      <c r="G97" s="3"/>
      <c r="H97" s="36"/>
      <c r="I97" s="3"/>
      <c r="J97" s="36"/>
      <c r="M97" s="35"/>
      <c r="N97" s="35"/>
      <c r="O97" s="35"/>
      <c r="Q97" s="1"/>
      <c r="S97" s="1"/>
      <c r="T97" s="1"/>
    </row>
    <row r="98" spans="2:22" x14ac:dyDescent="0.3">
      <c r="F98" s="36"/>
      <c r="G98" s="3"/>
      <c r="H98" s="36"/>
      <c r="I98" s="3"/>
      <c r="J98" s="36"/>
      <c r="M98" s="35"/>
      <c r="N98" s="35"/>
      <c r="O98" s="35"/>
      <c r="Q98" s="1"/>
      <c r="S98" s="1"/>
      <c r="T98" s="1"/>
    </row>
    <row r="99" spans="2:22" x14ac:dyDescent="0.3">
      <c r="D99" s="1">
        <v>0.1</v>
      </c>
      <c r="E99" t="b">
        <f>(D99&lt;0)</f>
        <v>0</v>
      </c>
      <c r="F99" s="186">
        <f>IF(E99,0,D99*255^2)</f>
        <v>6502.5</v>
      </c>
      <c r="G99" s="186"/>
      <c r="H99" s="186"/>
      <c r="I99" s="186">
        <f>IF(E99,1+D99,1-D99)</f>
        <v>0.9</v>
      </c>
      <c r="J99" s="186"/>
      <c r="K99" s="186"/>
      <c r="L99" s="1"/>
      <c r="M99" s="35"/>
      <c r="N99" s="14"/>
      <c r="O99" s="1">
        <v>0.15</v>
      </c>
      <c r="P99" t="b">
        <f>(O99&lt;0)</f>
        <v>0</v>
      </c>
      <c r="Q99" s="186">
        <f>IF(P99,0,O99*255^2)</f>
        <v>9753.75</v>
      </c>
      <c r="R99" s="186"/>
      <c r="S99" s="186"/>
      <c r="T99" s="186">
        <f>IF(P99,1+O99,1-O99)</f>
        <v>0.85</v>
      </c>
      <c r="U99" s="186"/>
      <c r="V99" s="186"/>
    </row>
    <row r="100" spans="2:22" x14ac:dyDescent="0.3">
      <c r="B100" t="s">
        <v>18</v>
      </c>
      <c r="M100" s="35"/>
      <c r="N100" s="14"/>
      <c r="Q100" s="13"/>
      <c r="S100" s="13"/>
      <c r="U100" s="13"/>
    </row>
    <row r="101" spans="2:22" x14ac:dyDescent="0.3">
      <c r="B101" t="s">
        <v>80</v>
      </c>
      <c r="C101" s="14">
        <v>1</v>
      </c>
      <c r="D101" s="16" t="str">
        <f>SetIt(D101, F101, H101, J101, "#" &amp; _xlfn.CONCAT(F101,H101,J101))</f>
        <v/>
      </c>
      <c r="E101" t="s">
        <v>21</v>
      </c>
      <c r="F101" s="36" t="str">
        <f t="shared" ref="F101:F116" si="154">IF(G101&lt;16,"0","")&amp;DEC2HEX(G101)</f>
        <v>F4</v>
      </c>
      <c r="G101" s="35">
        <v>244</v>
      </c>
      <c r="H101" s="36" t="str">
        <f t="shared" ref="H101:H116" si="155">IF(I101&lt;16,"0","")&amp;DEC2HEX(I101)</f>
        <v>80</v>
      </c>
      <c r="I101" s="35">
        <v>128</v>
      </c>
      <c r="J101" s="36" t="str">
        <f t="shared" ref="J101:J116" si="156">IF(K101&lt;16,"0","")&amp;DEC2HEX(K101)</f>
        <v>00</v>
      </c>
      <c r="K101" s="35">
        <v>0</v>
      </c>
      <c r="L101" s="35"/>
      <c r="N101" s="14">
        <v>1</v>
      </c>
      <c r="O101" s="52" t="str">
        <f>SetIt(O101, Q101, S101, U101, "#" &amp; _xlfn.CONCAT(Q101,S101,U101))</f>
        <v/>
      </c>
      <c r="P101" t="s">
        <v>54</v>
      </c>
      <c r="Q101" s="36" t="str">
        <f t="shared" ref="Q101:Q116" si="157">IF(R101&lt;16,"0","")&amp;DEC2HEX(R101)</f>
        <v>02</v>
      </c>
      <c r="R101" s="35">
        <v>2</v>
      </c>
      <c r="S101" s="36" t="str">
        <f t="shared" ref="S101:S116" si="158">IF(T101&lt;16,"0","")&amp;DEC2HEX(T101)</f>
        <v>77</v>
      </c>
      <c r="T101" s="35">
        <v>119</v>
      </c>
      <c r="U101" s="36" t="str">
        <f t="shared" ref="U101:U116" si="159">IF(V101&lt;16,"0","")&amp;DEC2HEX(V101)</f>
        <v>BD</v>
      </c>
      <c r="V101" s="35">
        <v>189</v>
      </c>
    </row>
    <row r="102" spans="2:22" x14ac:dyDescent="0.3">
      <c r="B102" t="s">
        <v>93</v>
      </c>
      <c r="C102" s="14">
        <v>2</v>
      </c>
      <c r="D102" s="18" t="str">
        <f>SetIt(D102, F102, H102, J102, "#" &amp; _xlfn.CONCAT(F102,H102,J102))</f>
        <v/>
      </c>
      <c r="E102" t="s">
        <v>23</v>
      </c>
      <c r="F102" s="36" t="str">
        <f t="shared" si="154"/>
        <v>F5</v>
      </c>
      <c r="G102" s="35">
        <f>ROUND((I99*G101^2+F99)^0.5,0)</f>
        <v>245</v>
      </c>
      <c r="H102" s="36" t="str">
        <f t="shared" si="155"/>
        <v>92</v>
      </c>
      <c r="I102" s="35">
        <f>ROUND((I99*I101^2+F99)^0.5,0)</f>
        <v>146</v>
      </c>
      <c r="J102" s="36" t="str">
        <f t="shared" si="156"/>
        <v>51</v>
      </c>
      <c r="K102" s="35">
        <f>ROUND((I99*K101^2+F99)^0.5,0)</f>
        <v>81</v>
      </c>
      <c r="L102" s="35"/>
      <c r="N102" s="14">
        <v>2</v>
      </c>
      <c r="O102" s="55" t="str">
        <f>SetIt(O102, Q102, S102, U102, "#" &amp; _xlfn.CONCAT(Q102,S102,U102))</f>
        <v/>
      </c>
      <c r="P102" t="s">
        <v>57</v>
      </c>
      <c r="Q102" s="36" t="str">
        <f t="shared" si="157"/>
        <v>63</v>
      </c>
      <c r="R102" s="35">
        <f>ROUND((T99*R101^2+Q99)^0.5,0)</f>
        <v>99</v>
      </c>
      <c r="S102" s="36" t="str">
        <f t="shared" si="158"/>
        <v>94</v>
      </c>
      <c r="T102" s="35">
        <f>ROUND((T99*T101^2+Q99)^0.5,0)</f>
        <v>148</v>
      </c>
      <c r="U102" s="36" t="str">
        <f t="shared" si="159"/>
        <v>C8</v>
      </c>
      <c r="V102" s="35">
        <f>ROUND((T99*V101^2+Q99)^0.5,0)</f>
        <v>200</v>
      </c>
    </row>
    <row r="103" spans="2:22" x14ac:dyDescent="0.3">
      <c r="C103" s="14">
        <v>3</v>
      </c>
      <c r="D103" s="19" t="str">
        <f>SetIt(D103, F103, H103, J103, "#" &amp; _xlfn.CONCAT(F103,H103,J103))</f>
        <v/>
      </c>
      <c r="E103" t="s">
        <v>24</v>
      </c>
      <c r="F103" s="36" t="str">
        <f t="shared" si="154"/>
        <v>F6</v>
      </c>
      <c r="G103" s="35">
        <f>ROUND((I99*G102^2+F99)^0.5,0)</f>
        <v>246</v>
      </c>
      <c r="H103" s="36" t="str">
        <f t="shared" si="155"/>
        <v>A0</v>
      </c>
      <c r="I103" s="35">
        <f>ROUND((I99*I102^2+F99)^0.5,0)</f>
        <v>160</v>
      </c>
      <c r="J103" s="36" t="str">
        <f t="shared" si="156"/>
        <v>6F</v>
      </c>
      <c r="K103" s="35">
        <f>ROUND((I99*K102^2+F99)^0.5,0)</f>
        <v>111</v>
      </c>
      <c r="L103" s="35"/>
      <c r="N103" s="14">
        <v>3</v>
      </c>
      <c r="O103" s="54" t="str">
        <f>SetIt(O103, Q103, S103, U103, "#" &amp; _xlfn.CONCAT(Q103,S103,U103))</f>
        <v/>
      </c>
      <c r="P103" t="s">
        <v>56</v>
      </c>
      <c r="Q103" s="36" t="str">
        <f t="shared" si="157"/>
        <v>86</v>
      </c>
      <c r="R103" s="35">
        <f>ROUND((T99*R102^2+Q99)^0.5,0)</f>
        <v>134</v>
      </c>
      <c r="S103" s="36" t="str">
        <f t="shared" si="158"/>
        <v>A8</v>
      </c>
      <c r="T103" s="35">
        <f>ROUND((T99*T102^2+Q99)^0.5,0)</f>
        <v>168</v>
      </c>
      <c r="U103" s="36" t="str">
        <f t="shared" si="159"/>
        <v>D1</v>
      </c>
      <c r="V103" s="35">
        <f>ROUND((T99*V102^2+Q99)^0.5,0)</f>
        <v>209</v>
      </c>
    </row>
    <row r="104" spans="2:22" x14ac:dyDescent="0.3">
      <c r="C104" s="14">
        <v>4</v>
      </c>
      <c r="D104" s="20" t="str">
        <f t="shared" ref="D104:D112" si="160">SetIt(D104, F104, H104, J104, "#" &amp; _xlfn.CONCAT(F104,H104,J104))</f>
        <v/>
      </c>
      <c r="E104" t="s">
        <v>25</v>
      </c>
      <c r="F104" s="36" t="str">
        <f t="shared" si="154"/>
        <v>F7</v>
      </c>
      <c r="G104" s="35">
        <f>ROUND((I99*G103^2+F99)^0.5,0)</f>
        <v>247</v>
      </c>
      <c r="H104" s="36" t="str">
        <f t="shared" si="155"/>
        <v>AC</v>
      </c>
      <c r="I104" s="35">
        <f>ROUND((I99*I103^2+F99)^0.5,0)</f>
        <v>172</v>
      </c>
      <c r="J104" s="36" t="str">
        <f t="shared" si="156"/>
        <v>85</v>
      </c>
      <c r="K104" s="35">
        <f>ROUND((I99*K103^2+F99)^0.5,0)</f>
        <v>133</v>
      </c>
      <c r="L104" s="35"/>
      <c r="N104" s="14">
        <v>4</v>
      </c>
      <c r="O104" s="57" t="str">
        <f t="shared" ref="O104:O116" si="161">SetIt(O104, Q104, S104, U104, "#" &amp; _xlfn.CONCAT(Q104,S104,U104))</f>
        <v/>
      </c>
      <c r="P104" t="s">
        <v>59</v>
      </c>
      <c r="Q104" s="36" t="str">
        <f t="shared" si="157"/>
        <v>9E</v>
      </c>
      <c r="R104" s="35">
        <f>ROUND((T99*R103^2+Q99)^0.5,0)</f>
        <v>158</v>
      </c>
      <c r="S104" s="36" t="str">
        <f t="shared" si="158"/>
        <v>B8</v>
      </c>
      <c r="T104" s="35">
        <f>ROUND((T99*T103^2+Q99)^0.5,0)</f>
        <v>184</v>
      </c>
      <c r="U104" s="36" t="str">
        <f t="shared" si="159"/>
        <v>D9</v>
      </c>
      <c r="V104" s="35">
        <f>ROUND((T99*V103^2+Q99)^0.5,0)</f>
        <v>217</v>
      </c>
    </row>
    <row r="105" spans="2:22" x14ac:dyDescent="0.3">
      <c r="C105" s="14">
        <v>5</v>
      </c>
      <c r="D105" s="21" t="str">
        <f t="shared" si="160"/>
        <v/>
      </c>
      <c r="E105" t="s">
        <v>26</v>
      </c>
      <c r="F105" s="36" t="str">
        <f t="shared" si="154"/>
        <v>F8</v>
      </c>
      <c r="G105" s="35">
        <f>ROUND((I99*G104^2+F99)^0.5,0)</f>
        <v>248</v>
      </c>
      <c r="H105" s="36" t="str">
        <f t="shared" si="155"/>
        <v>B6</v>
      </c>
      <c r="I105" s="35">
        <f>ROUND((I99*I104^2+F99)^0.5,0)</f>
        <v>182</v>
      </c>
      <c r="J105" s="36" t="str">
        <f t="shared" si="156"/>
        <v>96</v>
      </c>
      <c r="K105" s="35">
        <f>ROUND((I99*K104^2+F99)^0.5,0)</f>
        <v>150</v>
      </c>
      <c r="L105" s="35"/>
      <c r="N105" s="14">
        <v>5</v>
      </c>
      <c r="O105" s="56" t="str">
        <f t="shared" si="161"/>
        <v/>
      </c>
      <c r="P105" t="s">
        <v>58</v>
      </c>
      <c r="Q105" s="36" t="str">
        <f t="shared" si="157"/>
        <v>B0</v>
      </c>
      <c r="R105" s="35">
        <f>ROUND((T99*R104^2+Q99)^0.5,0)</f>
        <v>176</v>
      </c>
      <c r="S105" s="36" t="str">
        <f t="shared" si="158"/>
        <v>C4</v>
      </c>
      <c r="T105" s="35">
        <f>ROUND((T99*T104^2+Q99)^0.5,0)</f>
        <v>196</v>
      </c>
      <c r="U105" s="36" t="str">
        <f t="shared" si="159"/>
        <v>DF</v>
      </c>
      <c r="V105" s="35">
        <f>ROUND((T99*V104^2+Q99)^0.5,0)</f>
        <v>223</v>
      </c>
    </row>
    <row r="106" spans="2:22" x14ac:dyDescent="0.3">
      <c r="C106" s="14">
        <v>6</v>
      </c>
      <c r="D106" s="22" t="str">
        <f t="shared" si="160"/>
        <v/>
      </c>
      <c r="E106" t="s">
        <v>27</v>
      </c>
      <c r="F106" s="36" t="str">
        <f t="shared" si="154"/>
        <v>F9</v>
      </c>
      <c r="G106" s="35">
        <f>ROUND((I99*G105^2+F99)^0.5,0)</f>
        <v>249</v>
      </c>
      <c r="H106" s="36" t="str">
        <f t="shared" si="155"/>
        <v>BF</v>
      </c>
      <c r="I106" s="35">
        <f>ROUND((I99*I105^2+F99)^0.5,0)</f>
        <v>191</v>
      </c>
      <c r="J106" s="36" t="str">
        <f t="shared" si="156"/>
        <v>A4</v>
      </c>
      <c r="K106" s="35">
        <f>ROUND((I99*K105^2+F99)^0.5,0)</f>
        <v>164</v>
      </c>
      <c r="L106" s="35"/>
      <c r="N106" s="14">
        <v>6</v>
      </c>
      <c r="O106" s="58" t="str">
        <f t="shared" si="161"/>
        <v/>
      </c>
      <c r="P106" t="s">
        <v>60</v>
      </c>
      <c r="Q106" s="36" t="str">
        <f t="shared" si="157"/>
        <v>BE</v>
      </c>
      <c r="R106" s="35">
        <f>ROUND((T99*R105^2+Q99)^0.5,0)</f>
        <v>190</v>
      </c>
      <c r="S106" s="36" t="str">
        <f t="shared" si="158"/>
        <v>CE</v>
      </c>
      <c r="T106" s="35">
        <f>ROUND((T99*T105^2+Q99)^0.5,0)</f>
        <v>206</v>
      </c>
      <c r="U106" s="36" t="str">
        <f t="shared" si="159"/>
        <v>E4</v>
      </c>
      <c r="V106" s="35">
        <f>ROUND((T99*V105^2+Q99)^0.5,0)</f>
        <v>228</v>
      </c>
    </row>
    <row r="107" spans="2:22" x14ac:dyDescent="0.3">
      <c r="C107" s="14">
        <v>7</v>
      </c>
      <c r="D107" s="23" t="str">
        <f t="shared" si="160"/>
        <v/>
      </c>
      <c r="E107" t="s">
        <v>28</v>
      </c>
      <c r="F107" s="36" t="str">
        <f t="shared" si="154"/>
        <v>FA</v>
      </c>
      <c r="G107" s="35">
        <f>ROUND((I99*G106^2+F99)^0.5,0)</f>
        <v>250</v>
      </c>
      <c r="H107" s="36" t="str">
        <f t="shared" si="155"/>
        <v>C6</v>
      </c>
      <c r="I107" s="35">
        <f>ROUND((I99*I106^2+F99)^0.5,0)</f>
        <v>198</v>
      </c>
      <c r="J107" s="36" t="str">
        <f t="shared" si="156"/>
        <v>AF</v>
      </c>
      <c r="K107" s="35">
        <f>ROUND((I99*K106^2+F99)^0.5,0)</f>
        <v>175</v>
      </c>
      <c r="L107" s="35"/>
      <c r="N107" s="14">
        <v>7</v>
      </c>
      <c r="O107" s="59" t="str">
        <f t="shared" si="161"/>
        <v/>
      </c>
      <c r="P107" t="s">
        <v>61</v>
      </c>
      <c r="Q107" s="36" t="str">
        <f t="shared" si="157"/>
        <v>C9</v>
      </c>
      <c r="R107" s="35">
        <f>ROUND((T99*R106^2+Q99)^0.5,0)</f>
        <v>201</v>
      </c>
      <c r="S107" s="36" t="str">
        <f t="shared" si="158"/>
        <v>D6</v>
      </c>
      <c r="T107" s="35">
        <f>ROUND((T99*T106^2+Q99)^0.5,0)</f>
        <v>214</v>
      </c>
      <c r="U107" s="36" t="str">
        <f t="shared" si="159"/>
        <v>E8</v>
      </c>
      <c r="V107" s="35">
        <f>ROUND((T99*V106^2+Q99)^0.5,0)</f>
        <v>232</v>
      </c>
    </row>
    <row r="108" spans="2:22" x14ac:dyDescent="0.3">
      <c r="C108" s="14">
        <v>8</v>
      </c>
      <c r="D108" s="24" t="str">
        <f t="shared" si="160"/>
        <v/>
      </c>
      <c r="E108" t="s">
        <v>29</v>
      </c>
      <c r="F108" s="36" t="str">
        <f t="shared" si="154"/>
        <v>FB</v>
      </c>
      <c r="G108" s="35">
        <f>ROUND((I99*G107^2+F99)^0.5,0)</f>
        <v>251</v>
      </c>
      <c r="H108" s="36" t="str">
        <f t="shared" si="155"/>
        <v>CC</v>
      </c>
      <c r="I108" s="35">
        <f>ROUND((I99*I107^2+F99)^0.5,0)</f>
        <v>204</v>
      </c>
      <c r="J108" s="36" t="str">
        <f t="shared" si="156"/>
        <v>B9</v>
      </c>
      <c r="K108" s="35">
        <f>ROUND((I99*K107^2+F99)^0.5,0)</f>
        <v>185</v>
      </c>
      <c r="L108" s="35"/>
      <c r="N108" s="14">
        <v>8</v>
      </c>
      <c r="O108" s="60" t="str">
        <f t="shared" si="161"/>
        <v/>
      </c>
      <c r="P108" t="s">
        <v>62</v>
      </c>
      <c r="Q108" s="36" t="str">
        <f t="shared" si="157"/>
        <v>D2</v>
      </c>
      <c r="R108" s="35">
        <f>ROUND((T99*R107^2+Q99)^0.5,0)</f>
        <v>210</v>
      </c>
      <c r="S108" s="36" t="str">
        <f t="shared" si="158"/>
        <v>DD</v>
      </c>
      <c r="T108" s="35">
        <f>ROUND((T99*T107^2+Q99)^0.5,0)</f>
        <v>221</v>
      </c>
      <c r="U108" s="36" t="str">
        <f t="shared" si="159"/>
        <v>EC</v>
      </c>
      <c r="V108" s="35">
        <f>ROUND((T99*V107^2+Q99)^0.5,0)</f>
        <v>236</v>
      </c>
    </row>
    <row r="109" spans="2:22" x14ac:dyDescent="0.3">
      <c r="C109" s="14">
        <v>9</v>
      </c>
      <c r="D109" s="25" t="str">
        <f t="shared" si="160"/>
        <v/>
      </c>
      <c r="E109" t="s">
        <v>30</v>
      </c>
      <c r="F109" s="36" t="str">
        <f t="shared" si="154"/>
        <v>FB</v>
      </c>
      <c r="G109" s="35">
        <f>ROUND((I99*G108^2+F99)^0.5,0)</f>
        <v>251</v>
      </c>
      <c r="H109" s="36" t="str">
        <f t="shared" si="155"/>
        <v>D2</v>
      </c>
      <c r="I109" s="35">
        <f>ROUND((I99*I108^2+F99)^0.5,0)</f>
        <v>210</v>
      </c>
      <c r="J109" s="36" t="str">
        <f t="shared" si="156"/>
        <v>C1</v>
      </c>
      <c r="K109" s="35">
        <f>ROUND((I99*K108^2+F99)^0.5,0)</f>
        <v>193</v>
      </c>
      <c r="L109" s="35"/>
      <c r="N109" s="14">
        <v>9</v>
      </c>
      <c r="O109" s="53" t="str">
        <f t="shared" si="161"/>
        <v/>
      </c>
      <c r="P109" t="s">
        <v>55</v>
      </c>
      <c r="Q109" s="36" t="str">
        <f t="shared" si="157"/>
        <v>D9</v>
      </c>
      <c r="R109" s="35">
        <f>ROUND((T99*R108^2+Q99)^0.5,0)</f>
        <v>217</v>
      </c>
      <c r="S109" s="36" t="str">
        <f t="shared" si="158"/>
        <v>E2</v>
      </c>
      <c r="T109" s="35">
        <f>ROUND((T99*T108^2+Q99)^0.5,0)</f>
        <v>226</v>
      </c>
      <c r="U109" s="36" t="str">
        <f t="shared" si="159"/>
        <v>EF</v>
      </c>
      <c r="V109" s="35">
        <f>ROUND((T99*V108^2+Q99)^0.5,0)</f>
        <v>239</v>
      </c>
    </row>
    <row r="110" spans="2:22" x14ac:dyDescent="0.3">
      <c r="C110" s="14">
        <v>10</v>
      </c>
      <c r="D110" s="26" t="str">
        <f t="shared" si="160"/>
        <v/>
      </c>
      <c r="E110" t="s">
        <v>31</v>
      </c>
      <c r="F110" s="36" t="str">
        <f t="shared" si="154"/>
        <v>FB</v>
      </c>
      <c r="G110" s="35">
        <f>ROUND((I99*G109^2+F99)^0.5,0)</f>
        <v>251</v>
      </c>
      <c r="H110" s="36" t="str">
        <f t="shared" si="155"/>
        <v>D7</v>
      </c>
      <c r="I110" s="35">
        <f>ROUND((I99*I109^2+F99)^0.5,0)</f>
        <v>215</v>
      </c>
      <c r="J110" s="36" t="str">
        <f t="shared" si="156"/>
        <v>C8</v>
      </c>
      <c r="K110" s="35">
        <f>ROUND((I99*K109^2+F99)^0.5,0)</f>
        <v>200</v>
      </c>
      <c r="L110" s="35"/>
      <c r="N110" s="14">
        <v>10</v>
      </c>
      <c r="O110" s="61" t="str">
        <f t="shared" si="161"/>
        <v/>
      </c>
      <c r="P110" t="s">
        <v>63</v>
      </c>
      <c r="Q110" s="36" t="str">
        <f t="shared" si="157"/>
        <v>DF</v>
      </c>
      <c r="R110" s="35">
        <f>ROUND((T99*R109^2+Q99)^0.5,0)</f>
        <v>223</v>
      </c>
      <c r="S110" s="36" t="str">
        <f t="shared" si="158"/>
        <v>E7</v>
      </c>
      <c r="T110" s="35">
        <f>ROUND((T99*T109^2+Q99)^0.5,0)</f>
        <v>231</v>
      </c>
      <c r="U110" s="36" t="str">
        <f t="shared" si="159"/>
        <v>F1</v>
      </c>
      <c r="V110" s="35">
        <f>ROUND((T99*V109^2+Q99)^0.5,0)</f>
        <v>241</v>
      </c>
    </row>
    <row r="111" spans="2:22" x14ac:dyDescent="0.3">
      <c r="C111" s="14">
        <v>11</v>
      </c>
      <c r="D111" s="27" t="str">
        <f t="shared" si="160"/>
        <v/>
      </c>
      <c r="E111" t="s">
        <v>32</v>
      </c>
      <c r="F111" s="36" t="str">
        <f t="shared" si="154"/>
        <v>FB</v>
      </c>
      <c r="G111" s="35">
        <f>ROUND((I99*G110^2+F99)^0.5,0)</f>
        <v>251</v>
      </c>
      <c r="H111" s="36" t="str">
        <f t="shared" si="155"/>
        <v>DB</v>
      </c>
      <c r="I111" s="35">
        <f>ROUND((I99*I110^2+F99)^0.5,0)</f>
        <v>219</v>
      </c>
      <c r="J111" s="36" t="str">
        <f t="shared" si="156"/>
        <v>CE</v>
      </c>
      <c r="K111" s="35">
        <f>ROUND((I99*K110^2+F99)^0.5,0)</f>
        <v>206</v>
      </c>
      <c r="L111" s="35"/>
      <c r="N111" s="14">
        <v>11</v>
      </c>
      <c r="O111" s="63" t="str">
        <f t="shared" si="161"/>
        <v/>
      </c>
      <c r="P111" t="s">
        <v>65</v>
      </c>
      <c r="Q111" s="36" t="str">
        <f t="shared" si="157"/>
        <v>E4</v>
      </c>
      <c r="R111" s="35">
        <f>ROUND((T99*R110^2+Q99)^0.5,0)</f>
        <v>228</v>
      </c>
      <c r="S111" s="36" t="str">
        <f t="shared" si="158"/>
        <v>EB</v>
      </c>
      <c r="T111" s="35">
        <f>ROUND((T99*T110^2+Q99)^0.5,0)</f>
        <v>235</v>
      </c>
      <c r="U111" s="36" t="str">
        <f t="shared" si="159"/>
        <v>F3</v>
      </c>
      <c r="V111" s="35">
        <f>ROUND((T99*V110^2+Q99)^0.5,0)</f>
        <v>243</v>
      </c>
    </row>
    <row r="112" spans="2:22" x14ac:dyDescent="0.3">
      <c r="C112" s="14">
        <v>12</v>
      </c>
      <c r="D112" s="15" t="str">
        <f t="shared" si="160"/>
        <v/>
      </c>
      <c r="E112" t="s">
        <v>20</v>
      </c>
      <c r="F112" s="36" t="str">
        <f t="shared" si="154"/>
        <v>FB</v>
      </c>
      <c r="G112" s="35">
        <f>ROUND((I99*G111^2+F99)^0.5,0)</f>
        <v>251</v>
      </c>
      <c r="H112" s="36" t="str">
        <f t="shared" si="155"/>
        <v>DF</v>
      </c>
      <c r="I112" s="35">
        <f>ROUND((I99*I111^2+F99)^0.5,0)</f>
        <v>223</v>
      </c>
      <c r="J112" s="36" t="str">
        <f t="shared" si="156"/>
        <v>D3</v>
      </c>
      <c r="K112" s="35">
        <f>ROUND((I99*K111^2+F99)^0.5,0)</f>
        <v>211</v>
      </c>
      <c r="L112" s="35"/>
      <c r="N112" s="14">
        <v>12</v>
      </c>
      <c r="O112" s="62" t="str">
        <f t="shared" si="161"/>
        <v/>
      </c>
      <c r="P112" t="s">
        <v>64</v>
      </c>
      <c r="Q112" s="36" t="str">
        <f t="shared" si="157"/>
        <v>E8</v>
      </c>
      <c r="R112" s="35">
        <f>ROUND((T99*R111^2+Q99)^0.5,0)</f>
        <v>232</v>
      </c>
      <c r="S112" s="36" t="str">
        <f t="shared" si="158"/>
        <v>EE</v>
      </c>
      <c r="T112" s="35">
        <f>ROUND((T99*T111^2+Q99)^0.5,0)</f>
        <v>238</v>
      </c>
      <c r="U112" s="36" t="str">
        <f t="shared" si="159"/>
        <v>F5</v>
      </c>
      <c r="V112" s="35">
        <f>ROUND((T99*V111^2+Q99)^0.5,0)</f>
        <v>245</v>
      </c>
    </row>
    <row r="113" spans="2:24" x14ac:dyDescent="0.3">
      <c r="C113" s="14">
        <v>13</v>
      </c>
      <c r="D113" s="28" t="str">
        <f>SetIt(D113, F113, H113, J113, "#" &amp; _xlfn.CONCAT(F113,H113,J113))</f>
        <v/>
      </c>
      <c r="E113" t="s">
        <v>33</v>
      </c>
      <c r="F113" s="36" t="str">
        <f t="shared" si="154"/>
        <v>FB</v>
      </c>
      <c r="G113" s="35">
        <f>ROUND((I99*G112^2+F99)^0.5,0)</f>
        <v>251</v>
      </c>
      <c r="H113" s="36" t="str">
        <f t="shared" si="155"/>
        <v>E2</v>
      </c>
      <c r="I113" s="35">
        <f>ROUND((I99*I112^2+F99)^0.5,0)</f>
        <v>226</v>
      </c>
      <c r="J113" s="36" t="str">
        <f t="shared" si="156"/>
        <v>D8</v>
      </c>
      <c r="K113" s="35">
        <f>ROUND((I99*K112^2+F99)^0.5,0)</f>
        <v>216</v>
      </c>
      <c r="L113" s="35"/>
      <c r="N113" s="14">
        <v>13</v>
      </c>
      <c r="O113" s="65" t="str">
        <f t="shared" si="161"/>
        <v/>
      </c>
      <c r="P113" t="s">
        <v>67</v>
      </c>
      <c r="Q113" s="36" t="str">
        <f t="shared" si="157"/>
        <v>EC</v>
      </c>
      <c r="R113" s="35">
        <f>ROUND((T99*R112^2+Q99)^0.5,0)</f>
        <v>236</v>
      </c>
      <c r="S113" s="36" t="str">
        <f t="shared" si="158"/>
        <v>F1</v>
      </c>
      <c r="T113" s="35">
        <f>ROUND((T99*T112^2+Q99)^0.5,0)</f>
        <v>241</v>
      </c>
      <c r="U113" s="36" t="str">
        <f t="shared" si="159"/>
        <v>F7</v>
      </c>
      <c r="V113" s="35">
        <f>ROUND((T99*V112^2+Q99)^0.5,0)</f>
        <v>247</v>
      </c>
    </row>
    <row r="114" spans="2:24" x14ac:dyDescent="0.3">
      <c r="C114" s="14">
        <v>14</v>
      </c>
      <c r="D114" s="29" t="str">
        <f>SetIt(D114, F114, H114, J114, "#" &amp; _xlfn.CONCAT(F114,H114,J114))</f>
        <v/>
      </c>
      <c r="E114" t="s">
        <v>34</v>
      </c>
      <c r="F114" s="36" t="str">
        <f t="shared" si="154"/>
        <v>FB</v>
      </c>
      <c r="G114" s="35">
        <f>ROUND((I99*G113^2+F99)^0.5,0)</f>
        <v>251</v>
      </c>
      <c r="H114" s="36" t="str">
        <f t="shared" si="155"/>
        <v>E5</v>
      </c>
      <c r="I114" s="35">
        <f>ROUND((I99*I113^2+F99)^0.5,0)</f>
        <v>229</v>
      </c>
      <c r="J114" s="36" t="str">
        <f t="shared" si="156"/>
        <v>DC</v>
      </c>
      <c r="K114" s="35">
        <f>ROUND((I99*K113^2+F99)^0.5,0)</f>
        <v>220</v>
      </c>
      <c r="L114" s="35"/>
      <c r="N114" s="14">
        <v>14</v>
      </c>
      <c r="O114" s="64" t="str">
        <f t="shared" si="161"/>
        <v/>
      </c>
      <c r="P114" t="s">
        <v>66</v>
      </c>
      <c r="Q114" s="36" t="str">
        <f t="shared" si="157"/>
        <v>EF</v>
      </c>
      <c r="R114" s="35">
        <f>ROUND((T99*R113^2+Q99)^0.5,0)</f>
        <v>239</v>
      </c>
      <c r="S114" s="36" t="str">
        <f t="shared" si="158"/>
        <v>F3</v>
      </c>
      <c r="T114" s="35">
        <f>ROUND((T99*T113^2+Q99)^0.5,0)</f>
        <v>243</v>
      </c>
      <c r="U114" s="36" t="str">
        <f t="shared" si="159"/>
        <v>F8</v>
      </c>
      <c r="V114" s="35">
        <f>ROUND((T99*V113^2+Q99)^0.5,0)</f>
        <v>248</v>
      </c>
    </row>
    <row r="115" spans="2:24" x14ac:dyDescent="0.3">
      <c r="C115" s="14">
        <v>15</v>
      </c>
      <c r="D115" s="31" t="str">
        <f>SetIt(D115, F115, H115, J115, "#" &amp; _xlfn.CONCAT(F115,H115,J115))</f>
        <v/>
      </c>
      <c r="E115" t="s">
        <v>36</v>
      </c>
      <c r="F115" s="36" t="str">
        <f t="shared" si="154"/>
        <v>FB</v>
      </c>
      <c r="G115" s="35">
        <f>ROUND((I99*G114^2+F99)^0.5,0)</f>
        <v>251</v>
      </c>
      <c r="H115" s="36" t="str">
        <f t="shared" si="155"/>
        <v>E8</v>
      </c>
      <c r="I115" s="35">
        <f>ROUND((I99*I114^2+F99)^0.5,0)</f>
        <v>232</v>
      </c>
      <c r="J115" s="36" t="str">
        <f t="shared" si="156"/>
        <v>E0</v>
      </c>
      <c r="K115" s="35">
        <f>ROUND((I99*K114^2+F99)^0.5,0)</f>
        <v>224</v>
      </c>
      <c r="L115" s="35"/>
      <c r="N115" s="14">
        <v>15</v>
      </c>
      <c r="O115" s="66" t="str">
        <f t="shared" si="161"/>
        <v/>
      </c>
      <c r="P115" t="s">
        <v>68</v>
      </c>
      <c r="Q115" s="36" t="str">
        <f t="shared" si="157"/>
        <v>F1</v>
      </c>
      <c r="R115" s="35">
        <f>ROUND((T99*R114^2+Q99)^0.5,0)</f>
        <v>241</v>
      </c>
      <c r="S115" s="36" t="str">
        <f t="shared" si="158"/>
        <v>F5</v>
      </c>
      <c r="T115" s="35">
        <f>ROUND((T99*T114^2+Q99)^0.5,0)</f>
        <v>245</v>
      </c>
      <c r="U115" s="36" t="str">
        <f t="shared" si="159"/>
        <v>F9</v>
      </c>
      <c r="V115" s="35">
        <f>ROUND((T99*V114^2+Q99)^0.5,0)</f>
        <v>249</v>
      </c>
    </row>
    <row r="116" spans="2:24" x14ac:dyDescent="0.3">
      <c r="C116" s="14">
        <v>16</v>
      </c>
      <c r="D116" s="30" t="str">
        <f>SetIt(D116, F116, H116, J116, "#" &amp; _xlfn.CONCAT(F116,H116,J116))</f>
        <v/>
      </c>
      <c r="E116" t="s">
        <v>35</v>
      </c>
      <c r="F116" s="36" t="str">
        <f t="shared" si="154"/>
        <v>FB</v>
      </c>
      <c r="G116" s="35">
        <f>ROUND((I99*G115^2+F99)^0.5,0)</f>
        <v>251</v>
      </c>
      <c r="H116" s="36" t="str">
        <f t="shared" si="155"/>
        <v>EA</v>
      </c>
      <c r="I116" s="35">
        <f>ROUND((I99*I115^2+F99)^0.5,0)</f>
        <v>234</v>
      </c>
      <c r="J116" s="36" t="str">
        <f t="shared" si="156"/>
        <v>E3</v>
      </c>
      <c r="K116" s="35">
        <f>ROUND((I99*K115^2+F99)^0.5,0)</f>
        <v>227</v>
      </c>
      <c r="L116" s="35"/>
      <c r="N116" s="14">
        <v>16</v>
      </c>
      <c r="O116" s="67" t="str">
        <f t="shared" si="161"/>
        <v/>
      </c>
      <c r="P116" t="s">
        <v>69</v>
      </c>
      <c r="Q116" s="36" t="str">
        <f t="shared" si="157"/>
        <v>F3</v>
      </c>
      <c r="R116" s="35">
        <f>ROUND((T99*R115^2+Q99)^0.5,0)</f>
        <v>243</v>
      </c>
      <c r="S116" s="36" t="str">
        <f t="shared" si="158"/>
        <v>F7</v>
      </c>
      <c r="T116" s="35">
        <f>ROUND((T99*T115^2+Q99)^0.5,0)</f>
        <v>247</v>
      </c>
      <c r="U116" s="36" t="str">
        <f t="shared" si="159"/>
        <v>FA</v>
      </c>
      <c r="V116" s="35">
        <f>ROUND((T99*V115^2+Q99)^0.5,0)</f>
        <v>250</v>
      </c>
    </row>
    <row r="122" spans="2:24" x14ac:dyDescent="0.3">
      <c r="B122" t="s">
        <v>18</v>
      </c>
      <c r="F122" s="13" t="s">
        <v>0</v>
      </c>
      <c r="H122" s="13" t="s">
        <v>1</v>
      </c>
      <c r="J122" s="13" t="s">
        <v>2</v>
      </c>
      <c r="M122" t="s">
        <v>3</v>
      </c>
      <c r="N122" t="s">
        <v>6</v>
      </c>
      <c r="O122" t="s">
        <v>4</v>
      </c>
      <c r="P122" t="s">
        <v>5</v>
      </c>
    </row>
    <row r="123" spans="2:24" x14ac:dyDescent="0.3">
      <c r="B123" t="s">
        <v>94</v>
      </c>
      <c r="C123" s="14">
        <v>1</v>
      </c>
      <c r="D123" s="16" t="str">
        <f>SetIt(D123, F123, H123, J123, "#" &amp; _xlfn.CONCAT(F123,H123,J123))</f>
        <v/>
      </c>
      <c r="E123" t="s">
        <v>21</v>
      </c>
      <c r="F123" s="36" t="str">
        <f>IF(G123&lt;16,"0","")&amp;DEC2HEX(G123)</f>
        <v>F4</v>
      </c>
      <c r="G123" s="35">
        <v>244</v>
      </c>
      <c r="H123" s="36" t="str">
        <f>IF(I123&lt;16,"0","")&amp;DEC2HEX(I123)</f>
        <v>80</v>
      </c>
      <c r="I123" s="35">
        <v>128</v>
      </c>
      <c r="J123" s="36" t="str">
        <f>IF(K123&lt;16,"0","")&amp;DEC2HEX(K123)</f>
        <v>00</v>
      </c>
      <c r="K123" s="35">
        <v>0</v>
      </c>
      <c r="W123" s="33">
        <v>0.06</v>
      </c>
      <c r="X123" s="33">
        <v>-0.06</v>
      </c>
    </row>
    <row r="124" spans="2:24" x14ac:dyDescent="0.3">
      <c r="B124" t="s">
        <v>95</v>
      </c>
      <c r="C124" s="14">
        <v>2</v>
      </c>
      <c r="D124" s="95" t="str">
        <f>SetIt(D124, F124, H124, J124, "#" &amp; _xlfn.CONCAT(F124,H124,J124))</f>
        <v/>
      </c>
      <c r="E124" t="s">
        <v>96</v>
      </c>
      <c r="F124" s="36" t="str">
        <f>IF(G124&lt;16,"0","")&amp;DEC2HEX(G124)</f>
        <v>F5</v>
      </c>
      <c r="G124" s="35">
        <f>ROUND((P124*G123^2+O124)^0.5,0)</f>
        <v>245</v>
      </c>
      <c r="H124" s="36" t="str">
        <f>IF(I124&lt;16,"0","")&amp;DEC2HEX(I124)</f>
        <v>8E</v>
      </c>
      <c r="I124" s="35">
        <f>ROUND((P124*I123^2+O124)^0.5,0)</f>
        <v>142</v>
      </c>
      <c r="J124" s="36" t="str">
        <f>IF(K124&lt;16,"0","")&amp;DEC2HEX(K124)</f>
        <v>48</v>
      </c>
      <c r="K124" s="35">
        <f>ROUND((P124*K123^2+O124)^0.5,0)</f>
        <v>72</v>
      </c>
      <c r="M124" s="33">
        <v>0.08</v>
      </c>
      <c r="N124" t="b">
        <f>(M124&lt;0)</f>
        <v>0</v>
      </c>
      <c r="O124" s="1">
        <f>IF(N124,0,M124*255^2)</f>
        <v>5202</v>
      </c>
      <c r="P124" s="1">
        <f>IF(N124,1+M124,1-M124)</f>
        <v>0.92</v>
      </c>
      <c r="Q124" s="1"/>
      <c r="S124" s="1"/>
      <c r="T124" s="1"/>
      <c r="W124" s="33">
        <v>0.08</v>
      </c>
      <c r="X124" s="33">
        <v>-0.08</v>
      </c>
    </row>
    <row r="125" spans="2:24" x14ac:dyDescent="0.3">
      <c r="C125" s="14">
        <v>3</v>
      </c>
      <c r="D125" s="96" t="str">
        <f>SetIt(D125, F125, H125, J125, "#" &amp; _xlfn.CONCAT(F125,H125,J125))</f>
        <v/>
      </c>
      <c r="E125" t="s">
        <v>97</v>
      </c>
      <c r="F125" s="36" t="str">
        <f t="shared" ref="F125:F138" si="162">IF(G125&lt;16,"0","")&amp;DEC2HEX(G125)</f>
        <v>F6</v>
      </c>
      <c r="G125" s="35">
        <f t="shared" ref="G125:G138" si="163">ROUND((P125*G124^2+O125)^0.5,0)</f>
        <v>246</v>
      </c>
      <c r="H125" s="36" t="str">
        <f t="shared" ref="H125:H138" si="164">IF(I125&lt;16,"0","")&amp;DEC2HEX(I125)</f>
        <v>A3</v>
      </c>
      <c r="I125" s="35">
        <f t="shared" ref="I125:I138" si="165">ROUND((P125*I124^2+O125)^0.5,0)</f>
        <v>163</v>
      </c>
      <c r="J125" s="36" t="str">
        <f t="shared" ref="J125:J138" si="166">IF(K125&lt;16,"0","")&amp;DEC2HEX(K125)</f>
        <v>74</v>
      </c>
      <c r="K125" s="35">
        <f t="shared" ref="K125:K138" si="167">ROUND((P125*K124^2+O125)^0.5,0)</f>
        <v>116</v>
      </c>
      <c r="M125" s="33">
        <v>0.14000000000000001</v>
      </c>
      <c r="N125" t="b">
        <f>(M125&lt;0)</f>
        <v>0</v>
      </c>
      <c r="O125" s="1">
        <f>IF(N125,0,M125*255^2)</f>
        <v>9103.5</v>
      </c>
      <c r="P125" s="1">
        <f>IF(N125,1+M125,1-M125)</f>
        <v>0.86</v>
      </c>
      <c r="W125" s="33">
        <f>W124+W$123</f>
        <v>0.14000000000000001</v>
      </c>
      <c r="X125" s="33">
        <f>X124+X$123</f>
        <v>-0.14000000000000001</v>
      </c>
    </row>
    <row r="126" spans="2:24" x14ac:dyDescent="0.3">
      <c r="C126" s="14">
        <v>4</v>
      </c>
      <c r="D126" s="97" t="str">
        <f t="shared" ref="D126:D138" si="168">SetIt(D126, F126, H126, J126, "#" &amp; _xlfn.CONCAT(F126,H126,J126))</f>
        <v/>
      </c>
      <c r="E126" t="s">
        <v>98</v>
      </c>
      <c r="F126" s="36" t="str">
        <f t="shared" si="162"/>
        <v>F8</v>
      </c>
      <c r="G126" s="35">
        <f t="shared" si="163"/>
        <v>248</v>
      </c>
      <c r="H126" s="36" t="str">
        <f t="shared" si="164"/>
        <v>B9</v>
      </c>
      <c r="I126" s="35">
        <f t="shared" si="165"/>
        <v>185</v>
      </c>
      <c r="J126" s="36" t="str">
        <f t="shared" si="166"/>
        <v>9A</v>
      </c>
      <c r="K126" s="35">
        <f t="shared" si="167"/>
        <v>154</v>
      </c>
      <c r="M126" s="33">
        <v>0.2</v>
      </c>
      <c r="N126" t="b">
        <f t="shared" ref="N126:N138" si="169">(M126&lt;0)</f>
        <v>0</v>
      </c>
      <c r="O126" s="1">
        <f t="shared" ref="O126:O138" si="170">IF(N126,0,M126*255^2)</f>
        <v>13005</v>
      </c>
      <c r="P126" s="1">
        <f t="shared" ref="P126:P138" si="171">IF(N126,1+M126,1-M126)</f>
        <v>0.8</v>
      </c>
      <c r="W126" s="33">
        <f t="shared" ref="W126:W138" si="172">W125+W$123</f>
        <v>0.2</v>
      </c>
      <c r="X126" s="33">
        <f t="shared" ref="X126:X138" si="173">X125+X$123</f>
        <v>-0.2</v>
      </c>
    </row>
    <row r="127" spans="2:24" x14ac:dyDescent="0.3">
      <c r="C127" s="14">
        <v>5</v>
      </c>
      <c r="D127" s="17" t="str">
        <f t="shared" si="168"/>
        <v/>
      </c>
      <c r="E127" t="s">
        <v>22</v>
      </c>
      <c r="F127" s="36" t="str">
        <f t="shared" si="162"/>
        <v>FA</v>
      </c>
      <c r="G127" s="35">
        <f t="shared" si="163"/>
        <v>250</v>
      </c>
      <c r="H127" s="36" t="str">
        <f t="shared" si="164"/>
        <v>CE</v>
      </c>
      <c r="I127" s="35">
        <f t="shared" si="165"/>
        <v>206</v>
      </c>
      <c r="J127" s="36" t="str">
        <f t="shared" si="166"/>
        <v>BA</v>
      </c>
      <c r="K127" s="35">
        <f t="shared" si="167"/>
        <v>186</v>
      </c>
      <c r="M127" s="33">
        <v>0.26</v>
      </c>
      <c r="N127" t="b">
        <f t="shared" si="169"/>
        <v>0</v>
      </c>
      <c r="O127" s="1">
        <f t="shared" si="170"/>
        <v>16906.5</v>
      </c>
      <c r="P127" s="1">
        <f t="shared" si="171"/>
        <v>0.74</v>
      </c>
      <c r="W127" s="33">
        <f t="shared" si="172"/>
        <v>0.26</v>
      </c>
      <c r="X127" s="33">
        <f t="shared" si="173"/>
        <v>-0.26</v>
      </c>
    </row>
    <row r="128" spans="2:24" x14ac:dyDescent="0.3">
      <c r="C128" s="14">
        <v>6</v>
      </c>
      <c r="D128" s="99" t="str">
        <f t="shared" si="168"/>
        <v/>
      </c>
      <c r="E128" t="s">
        <v>100</v>
      </c>
      <c r="F128" s="36" t="str">
        <f t="shared" si="162"/>
        <v>FC</v>
      </c>
      <c r="G128" s="35">
        <f t="shared" si="163"/>
        <v>252</v>
      </c>
      <c r="H128" s="36" t="str">
        <f t="shared" si="164"/>
        <v>DF</v>
      </c>
      <c r="I128" s="35">
        <f t="shared" si="165"/>
        <v>223</v>
      </c>
      <c r="J128" s="36" t="str">
        <f t="shared" si="166"/>
        <v>D3</v>
      </c>
      <c r="K128" s="35">
        <f t="shared" si="167"/>
        <v>211</v>
      </c>
      <c r="M128" s="33">
        <v>0.32</v>
      </c>
      <c r="N128" t="b">
        <f t="shared" si="169"/>
        <v>0</v>
      </c>
      <c r="O128" s="1">
        <f t="shared" si="170"/>
        <v>20808</v>
      </c>
      <c r="P128" s="1">
        <f t="shared" si="171"/>
        <v>0.67999999999999994</v>
      </c>
      <c r="W128" s="33">
        <f t="shared" si="172"/>
        <v>0.32</v>
      </c>
      <c r="X128" s="33">
        <f t="shared" si="173"/>
        <v>-0.32</v>
      </c>
    </row>
    <row r="129" spans="3:24" x14ac:dyDescent="0.3">
      <c r="C129" s="14">
        <v>7</v>
      </c>
      <c r="D129" s="98" t="str">
        <f t="shared" si="168"/>
        <v/>
      </c>
      <c r="E129" t="s">
        <v>99</v>
      </c>
      <c r="F129" s="36" t="str">
        <f t="shared" si="162"/>
        <v>FD</v>
      </c>
      <c r="G129" s="35">
        <f t="shared" si="163"/>
        <v>253</v>
      </c>
      <c r="H129" s="36" t="str">
        <f t="shared" si="164"/>
        <v>EC</v>
      </c>
      <c r="I129" s="35">
        <f t="shared" si="165"/>
        <v>236</v>
      </c>
      <c r="J129" s="36" t="str">
        <f t="shared" si="166"/>
        <v>E5</v>
      </c>
      <c r="K129" s="35">
        <f t="shared" si="167"/>
        <v>229</v>
      </c>
      <c r="M129" s="33">
        <v>0.38</v>
      </c>
      <c r="N129" t="b">
        <f t="shared" si="169"/>
        <v>0</v>
      </c>
      <c r="O129" s="1">
        <f t="shared" si="170"/>
        <v>24709.5</v>
      </c>
      <c r="P129" s="1">
        <f t="shared" si="171"/>
        <v>0.62</v>
      </c>
      <c r="W129" s="33">
        <f t="shared" si="172"/>
        <v>0.38</v>
      </c>
      <c r="X129" s="33">
        <f t="shared" si="173"/>
        <v>-0.38</v>
      </c>
    </row>
    <row r="130" spans="3:24" x14ac:dyDescent="0.3">
      <c r="C130" s="14">
        <v>8</v>
      </c>
      <c r="D130" s="100" t="str">
        <f t="shared" si="168"/>
        <v/>
      </c>
      <c r="E130" t="s">
        <v>101</v>
      </c>
      <c r="F130" s="36" t="str">
        <f t="shared" si="162"/>
        <v>FE</v>
      </c>
      <c r="G130" s="35">
        <f t="shared" si="163"/>
        <v>254</v>
      </c>
      <c r="H130" s="36" t="str">
        <f t="shared" si="164"/>
        <v>F5</v>
      </c>
      <c r="I130" s="35">
        <f t="shared" si="165"/>
        <v>245</v>
      </c>
      <c r="J130" s="36" t="str">
        <f t="shared" si="166"/>
        <v>F1</v>
      </c>
      <c r="K130" s="35">
        <f t="shared" si="167"/>
        <v>241</v>
      </c>
      <c r="M130" s="33">
        <v>0.44</v>
      </c>
      <c r="N130" t="b">
        <f t="shared" si="169"/>
        <v>0</v>
      </c>
      <c r="O130" s="1">
        <f t="shared" si="170"/>
        <v>28611</v>
      </c>
      <c r="P130" s="1">
        <f t="shared" si="171"/>
        <v>0.56000000000000005</v>
      </c>
      <c r="W130" s="33">
        <f t="shared" si="172"/>
        <v>0.44</v>
      </c>
      <c r="X130" s="33">
        <f t="shared" si="173"/>
        <v>-0.44</v>
      </c>
    </row>
    <row r="131" spans="3:24" x14ac:dyDescent="0.3">
      <c r="C131" s="14">
        <v>9</v>
      </c>
      <c r="D131" s="101" t="str">
        <f t="shared" si="168"/>
        <v/>
      </c>
      <c r="E131" t="s">
        <v>102</v>
      </c>
      <c r="F131" s="36" t="str">
        <f t="shared" si="162"/>
        <v>FF</v>
      </c>
      <c r="G131" s="35">
        <f t="shared" si="163"/>
        <v>255</v>
      </c>
      <c r="H131" s="36" t="str">
        <f t="shared" si="164"/>
        <v>FA</v>
      </c>
      <c r="I131" s="35">
        <f t="shared" si="165"/>
        <v>250</v>
      </c>
      <c r="J131" s="36" t="str">
        <f t="shared" si="166"/>
        <v>F8</v>
      </c>
      <c r="K131" s="35">
        <f t="shared" si="167"/>
        <v>248</v>
      </c>
      <c r="M131" s="33">
        <v>0.5</v>
      </c>
      <c r="N131" t="b">
        <f t="shared" si="169"/>
        <v>0</v>
      </c>
      <c r="O131" s="1">
        <f t="shared" si="170"/>
        <v>32512.5</v>
      </c>
      <c r="P131" s="1">
        <f t="shared" si="171"/>
        <v>0.5</v>
      </c>
      <c r="W131" s="33">
        <f t="shared" si="172"/>
        <v>0.5</v>
      </c>
      <c r="X131" s="33">
        <f t="shared" si="173"/>
        <v>-0.5</v>
      </c>
    </row>
    <row r="132" spans="3:24" x14ac:dyDescent="0.3">
      <c r="C132" s="14">
        <v>10</v>
      </c>
      <c r="D132" s="102" t="str">
        <f t="shared" si="168"/>
        <v/>
      </c>
      <c r="E132" t="s">
        <v>103</v>
      </c>
      <c r="F132" s="36" t="str">
        <f t="shared" si="162"/>
        <v>FF</v>
      </c>
      <c r="G132" s="35">
        <f t="shared" si="163"/>
        <v>255</v>
      </c>
      <c r="H132" s="36" t="str">
        <f t="shared" si="164"/>
        <v>FD</v>
      </c>
      <c r="I132" s="35">
        <f t="shared" si="165"/>
        <v>253</v>
      </c>
      <c r="J132" s="36" t="str">
        <f t="shared" si="166"/>
        <v>FC</v>
      </c>
      <c r="K132" s="35">
        <f t="shared" si="167"/>
        <v>252</v>
      </c>
      <c r="M132" s="33">
        <v>0.56000000000000005</v>
      </c>
      <c r="N132" t="b">
        <f t="shared" si="169"/>
        <v>0</v>
      </c>
      <c r="O132" s="1">
        <f t="shared" si="170"/>
        <v>36414</v>
      </c>
      <c r="P132" s="1">
        <f t="shared" si="171"/>
        <v>0.43999999999999995</v>
      </c>
      <c r="W132" s="33">
        <f t="shared" si="172"/>
        <v>0.56000000000000005</v>
      </c>
      <c r="X132" s="33">
        <f t="shared" si="173"/>
        <v>-0.56000000000000005</v>
      </c>
    </row>
    <row r="133" spans="3:24" x14ac:dyDescent="0.3">
      <c r="C133" s="14">
        <v>11</v>
      </c>
      <c r="D133" s="103" t="str">
        <f t="shared" si="168"/>
        <v/>
      </c>
      <c r="E133" t="s">
        <v>104</v>
      </c>
      <c r="F133" s="36" t="str">
        <f t="shared" si="162"/>
        <v>FF</v>
      </c>
      <c r="G133" s="35">
        <f t="shared" si="163"/>
        <v>255</v>
      </c>
      <c r="H133" s="36" t="str">
        <f t="shared" si="164"/>
        <v>FE</v>
      </c>
      <c r="I133" s="35">
        <f t="shared" si="165"/>
        <v>254</v>
      </c>
      <c r="J133" s="36" t="str">
        <f t="shared" si="166"/>
        <v>FE</v>
      </c>
      <c r="K133" s="35">
        <f t="shared" si="167"/>
        <v>254</v>
      </c>
      <c r="M133" s="33">
        <v>0.62000000000000011</v>
      </c>
      <c r="N133" t="b">
        <f t="shared" si="169"/>
        <v>0</v>
      </c>
      <c r="O133" s="1">
        <f t="shared" si="170"/>
        <v>40315.500000000007</v>
      </c>
      <c r="P133" s="1">
        <f t="shared" si="171"/>
        <v>0.37999999999999989</v>
      </c>
      <c r="W133" s="33">
        <f t="shared" si="172"/>
        <v>0.62000000000000011</v>
      </c>
      <c r="X133" s="33">
        <f t="shared" si="173"/>
        <v>-0.62000000000000011</v>
      </c>
    </row>
    <row r="134" spans="3:24" x14ac:dyDescent="0.3">
      <c r="C134" s="14">
        <v>12</v>
      </c>
      <c r="D134" s="78" t="str">
        <f t="shared" si="168"/>
        <v/>
      </c>
      <c r="E134" t="s">
        <v>81</v>
      </c>
      <c r="F134" s="36" t="str">
        <f t="shared" si="162"/>
        <v>FF</v>
      </c>
      <c r="G134" s="35">
        <f t="shared" si="163"/>
        <v>255</v>
      </c>
      <c r="H134" s="36" t="str">
        <f t="shared" si="164"/>
        <v>FF</v>
      </c>
      <c r="I134" s="35">
        <f t="shared" si="165"/>
        <v>255</v>
      </c>
      <c r="J134" s="36" t="str">
        <f t="shared" si="166"/>
        <v>FF</v>
      </c>
      <c r="K134" s="35">
        <f t="shared" si="167"/>
        <v>255</v>
      </c>
      <c r="M134" s="33">
        <v>0.68000000000000016</v>
      </c>
      <c r="N134" t="b">
        <f t="shared" si="169"/>
        <v>0</v>
      </c>
      <c r="O134" s="1">
        <f t="shared" si="170"/>
        <v>44217.000000000007</v>
      </c>
      <c r="P134" s="1">
        <f t="shared" si="171"/>
        <v>0.31999999999999984</v>
      </c>
      <c r="W134" s="33">
        <f t="shared" si="172"/>
        <v>0.68000000000000016</v>
      </c>
      <c r="X134" s="33">
        <f t="shared" si="173"/>
        <v>-0.68000000000000016</v>
      </c>
    </row>
    <row r="135" spans="3:24" x14ac:dyDescent="0.3">
      <c r="C135" s="14">
        <v>13</v>
      </c>
      <c r="D135" s="78" t="str">
        <f t="shared" si="168"/>
        <v/>
      </c>
      <c r="E135" t="s">
        <v>81</v>
      </c>
      <c r="F135" s="36" t="str">
        <f t="shared" si="162"/>
        <v>FF</v>
      </c>
      <c r="G135" s="35">
        <f t="shared" si="163"/>
        <v>255</v>
      </c>
      <c r="H135" s="36" t="str">
        <f t="shared" si="164"/>
        <v>FF</v>
      </c>
      <c r="I135" s="35">
        <f t="shared" si="165"/>
        <v>255</v>
      </c>
      <c r="J135" s="36" t="str">
        <f t="shared" si="166"/>
        <v>FF</v>
      </c>
      <c r="K135" s="35">
        <f t="shared" si="167"/>
        <v>255</v>
      </c>
      <c r="M135" s="33">
        <v>0.74000000000000021</v>
      </c>
      <c r="N135" t="b">
        <f t="shared" si="169"/>
        <v>0</v>
      </c>
      <c r="O135" s="1">
        <f t="shared" si="170"/>
        <v>48118.500000000015</v>
      </c>
      <c r="P135" s="1">
        <f t="shared" si="171"/>
        <v>0.25999999999999979</v>
      </c>
      <c r="W135" s="33">
        <f t="shared" si="172"/>
        <v>0.74000000000000021</v>
      </c>
      <c r="X135" s="33">
        <f t="shared" si="173"/>
        <v>-0.74000000000000021</v>
      </c>
    </row>
    <row r="136" spans="3:24" x14ac:dyDescent="0.3">
      <c r="C136" s="14">
        <v>14</v>
      </c>
      <c r="D136" s="78" t="str">
        <f t="shared" si="168"/>
        <v/>
      </c>
      <c r="E136" t="s">
        <v>81</v>
      </c>
      <c r="F136" s="36" t="str">
        <f t="shared" si="162"/>
        <v>FF</v>
      </c>
      <c r="G136" s="35">
        <f t="shared" si="163"/>
        <v>255</v>
      </c>
      <c r="H136" s="36" t="str">
        <f t="shared" si="164"/>
        <v>FF</v>
      </c>
      <c r="I136" s="35">
        <f t="shared" si="165"/>
        <v>255</v>
      </c>
      <c r="J136" s="36" t="str">
        <f t="shared" si="166"/>
        <v>FF</v>
      </c>
      <c r="K136" s="35">
        <f t="shared" si="167"/>
        <v>255</v>
      </c>
      <c r="M136" s="33">
        <v>0.80000000000000027</v>
      </c>
      <c r="N136" t="b">
        <f t="shared" si="169"/>
        <v>0</v>
      </c>
      <c r="O136" s="1">
        <f t="shared" si="170"/>
        <v>52020.000000000015</v>
      </c>
      <c r="P136" s="1">
        <f t="shared" si="171"/>
        <v>0.19999999999999973</v>
      </c>
      <c r="W136" s="33">
        <f t="shared" si="172"/>
        <v>0.80000000000000027</v>
      </c>
      <c r="X136" s="33">
        <f t="shared" si="173"/>
        <v>-0.80000000000000027</v>
      </c>
    </row>
    <row r="137" spans="3:24" x14ac:dyDescent="0.3">
      <c r="C137" s="14">
        <v>15</v>
      </c>
      <c r="D137" s="78" t="str">
        <f t="shared" si="168"/>
        <v/>
      </c>
      <c r="E137" t="s">
        <v>81</v>
      </c>
      <c r="F137" s="36" t="str">
        <f t="shared" si="162"/>
        <v>FF</v>
      </c>
      <c r="G137" s="35">
        <f t="shared" si="163"/>
        <v>255</v>
      </c>
      <c r="H137" s="36" t="str">
        <f t="shared" si="164"/>
        <v>FF</v>
      </c>
      <c r="I137" s="35">
        <f t="shared" si="165"/>
        <v>255</v>
      </c>
      <c r="J137" s="36" t="str">
        <f t="shared" si="166"/>
        <v>FF</v>
      </c>
      <c r="K137" s="35">
        <f t="shared" si="167"/>
        <v>255</v>
      </c>
      <c r="M137" s="33">
        <v>0.86000000000000032</v>
      </c>
      <c r="N137" t="b">
        <f t="shared" si="169"/>
        <v>0</v>
      </c>
      <c r="O137" s="1">
        <f t="shared" si="170"/>
        <v>55921.500000000022</v>
      </c>
      <c r="P137" s="1">
        <f t="shared" si="171"/>
        <v>0.13999999999999968</v>
      </c>
      <c r="W137" s="33">
        <f t="shared" si="172"/>
        <v>0.86000000000000032</v>
      </c>
      <c r="X137" s="33">
        <f t="shared" si="173"/>
        <v>-0.86000000000000032</v>
      </c>
    </row>
    <row r="138" spans="3:24" x14ac:dyDescent="0.3">
      <c r="C138" s="14">
        <v>16</v>
      </c>
      <c r="D138" s="78" t="str">
        <f t="shared" si="168"/>
        <v/>
      </c>
      <c r="E138" t="s">
        <v>81</v>
      </c>
      <c r="F138" s="36" t="str">
        <f t="shared" si="162"/>
        <v>FF</v>
      </c>
      <c r="G138" s="35">
        <f t="shared" si="163"/>
        <v>255</v>
      </c>
      <c r="H138" s="36" t="str">
        <f t="shared" si="164"/>
        <v>FF</v>
      </c>
      <c r="I138" s="35">
        <f t="shared" si="165"/>
        <v>255</v>
      </c>
      <c r="J138" s="36" t="str">
        <f t="shared" si="166"/>
        <v>FF</v>
      </c>
      <c r="K138" s="35">
        <f t="shared" si="167"/>
        <v>255</v>
      </c>
      <c r="M138" s="33">
        <v>0.92000000000000037</v>
      </c>
      <c r="N138" t="b">
        <f t="shared" si="169"/>
        <v>0</v>
      </c>
      <c r="O138" s="1">
        <f t="shared" si="170"/>
        <v>59823.000000000022</v>
      </c>
      <c r="P138" s="1">
        <f t="shared" si="171"/>
        <v>7.9999999999999627E-2</v>
      </c>
      <c r="W138" s="33">
        <f t="shared" si="172"/>
        <v>0.92000000000000037</v>
      </c>
      <c r="X138" s="33">
        <f t="shared" si="173"/>
        <v>-0.92000000000000037</v>
      </c>
    </row>
  </sheetData>
  <mergeCells count="23">
    <mergeCell ref="F45:G45"/>
    <mergeCell ref="H45:I45"/>
    <mergeCell ref="J45:K45"/>
    <mergeCell ref="Q85:S85"/>
    <mergeCell ref="T85:V85"/>
    <mergeCell ref="Q99:S99"/>
    <mergeCell ref="T99:V99"/>
    <mergeCell ref="Q47:R47"/>
    <mergeCell ref="Q46:R46"/>
    <mergeCell ref="S46:T46"/>
    <mergeCell ref="U46:V46"/>
    <mergeCell ref="S47:T47"/>
    <mergeCell ref="U47:V47"/>
    <mergeCell ref="F99:H99"/>
    <mergeCell ref="I85:K85"/>
    <mergeCell ref="F85:H85"/>
    <mergeCell ref="I99:K99"/>
    <mergeCell ref="F46:G46"/>
    <mergeCell ref="F47:G47"/>
    <mergeCell ref="H46:I46"/>
    <mergeCell ref="H47:I47"/>
    <mergeCell ref="J46:K46"/>
    <mergeCell ref="J47:K47"/>
  </mergeCells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Color 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Stuyvesant</dc:creator>
  <cp:lastModifiedBy>Jeff Stuyvesant</cp:lastModifiedBy>
  <dcterms:created xsi:type="dcterms:W3CDTF">2019-04-22T04:55:29Z</dcterms:created>
  <dcterms:modified xsi:type="dcterms:W3CDTF">2020-10-27T00:19:54Z</dcterms:modified>
</cp:coreProperties>
</file>